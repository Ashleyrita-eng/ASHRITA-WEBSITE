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<sst xmlns="http://schemas.openxmlformats.org/spreadsheetml/2006/main" count="895" uniqueCount="171">
  <si>
    <t xml:space="preserve">ASHRITA ANIMAL FEEDS AND FARM INPUTS
INVENTORY REGISTER </t>
  </si>
  <si>
    <t>NO</t>
  </si>
  <si>
    <t>CATEGORY</t>
  </si>
  <si>
    <t>PRODUCT</t>
  </si>
  <si>
    <t>COMPANY</t>
  </si>
  <si>
    <t>QUANTITY</t>
  </si>
  <si>
    <t>PRICE</t>
  </si>
  <si>
    <t>OPENING STOCK AS AT 04/02/2026</t>
  </si>
  <si>
    <t>STOCK ADDED</t>
  </si>
  <si>
    <t>CLOSING STOCK AS AT 14/02/2026</t>
  </si>
  <si>
    <t xml:space="preserve">UNITS SOLD </t>
  </si>
  <si>
    <t xml:space="preserve">SALES </t>
  </si>
  <si>
    <t>OPENING STOCK AS AT 14/02/2026</t>
  </si>
  <si>
    <t>CLOSING STOCK AS AT 28/02/2026</t>
  </si>
  <si>
    <t>UNITS SOLD</t>
  </si>
  <si>
    <t>SALES</t>
  </si>
  <si>
    <t>SEEDS</t>
  </si>
  <si>
    <t>Hybrid H513</t>
  </si>
  <si>
    <t>Kenya Seed Company</t>
  </si>
  <si>
    <t>2kg</t>
  </si>
  <si>
    <t>DK 777</t>
  </si>
  <si>
    <t>Dekalb</t>
  </si>
  <si>
    <t>DK 8031</t>
  </si>
  <si>
    <t>Aminika H403</t>
  </si>
  <si>
    <t xml:space="preserve">Kenya Seed Company </t>
  </si>
  <si>
    <t>Aminika 505</t>
  </si>
  <si>
    <t>Tembo</t>
  </si>
  <si>
    <t>Seed Co.</t>
  </si>
  <si>
    <t>Royal Seeds</t>
  </si>
  <si>
    <t xml:space="preserve">Kephis </t>
  </si>
  <si>
    <t>10g</t>
  </si>
  <si>
    <t>EA Seed</t>
  </si>
  <si>
    <t>Kephis</t>
  </si>
  <si>
    <t>25g</t>
  </si>
  <si>
    <t>Blacknight shadesim</t>
  </si>
  <si>
    <t xml:space="preserve">VITAMINS </t>
  </si>
  <si>
    <t>Cosvita</t>
  </si>
  <si>
    <t>30g</t>
  </si>
  <si>
    <t xml:space="preserve">Sidai Poultry </t>
  </si>
  <si>
    <t>Sidai</t>
  </si>
  <si>
    <t>20g</t>
  </si>
  <si>
    <t>100g</t>
  </si>
  <si>
    <t>Vitamet Chick</t>
  </si>
  <si>
    <t>Metrovet Kenya Limited</t>
  </si>
  <si>
    <t>60g</t>
  </si>
  <si>
    <t>Super minovit</t>
  </si>
  <si>
    <t>CiBus</t>
  </si>
  <si>
    <t>Dawa boost</t>
  </si>
  <si>
    <t>chick start</t>
  </si>
  <si>
    <t>30gms</t>
  </si>
  <si>
    <t>Chick start</t>
  </si>
  <si>
    <t>100gms</t>
  </si>
  <si>
    <t xml:space="preserve">INSECTICIDES </t>
  </si>
  <si>
    <t>Tixfix</t>
  </si>
  <si>
    <t>20ml</t>
  </si>
  <si>
    <t>40ml</t>
  </si>
  <si>
    <t>Duodip</t>
  </si>
  <si>
    <t>Dudu thrin</t>
  </si>
  <si>
    <t>100ml</t>
  </si>
  <si>
    <t>50ml</t>
  </si>
  <si>
    <t>Escort</t>
  </si>
  <si>
    <t>Triatix</t>
  </si>
  <si>
    <t>Grenade</t>
  </si>
  <si>
    <t>Dudu sevin</t>
  </si>
  <si>
    <t>Sevin</t>
  </si>
  <si>
    <t>50g</t>
  </si>
  <si>
    <t>200g</t>
  </si>
  <si>
    <t>Dudu chali</t>
  </si>
  <si>
    <t>Chali</t>
  </si>
  <si>
    <t>Dudu Chali</t>
  </si>
  <si>
    <t>Gradometer</t>
  </si>
  <si>
    <t>Biosafe</t>
  </si>
  <si>
    <t>HERBICIDES</t>
  </si>
  <si>
    <t>Kausha</t>
  </si>
  <si>
    <t xml:space="preserve">Kenagro Suppliers </t>
  </si>
  <si>
    <t>200ml</t>
  </si>
  <si>
    <t xml:space="preserve"> Round up 360K</t>
  </si>
  <si>
    <t xml:space="preserve">ANTIBIOTICS </t>
  </si>
  <si>
    <t xml:space="preserve">Vitamin Neoxy </t>
  </si>
  <si>
    <t>Metrovet Kenya Ltd.</t>
  </si>
  <si>
    <t>Trimovet</t>
  </si>
  <si>
    <t>25gm</t>
  </si>
  <si>
    <t>100gm</t>
  </si>
  <si>
    <t>Antiprotozoal</t>
  </si>
  <si>
    <t>Medisel Kenya Ltd.</t>
  </si>
  <si>
    <t>30gm</t>
  </si>
  <si>
    <t>Amprolium</t>
  </si>
  <si>
    <t>Cosatrim</t>
  </si>
  <si>
    <t>Cosatrim-vet</t>
  </si>
  <si>
    <t>Esb3TM30%</t>
  </si>
  <si>
    <t>20gm</t>
  </si>
  <si>
    <t>ANIMAL SALT</t>
  </si>
  <si>
    <t>Maclik super</t>
  </si>
  <si>
    <t>CKL African Limited.</t>
  </si>
  <si>
    <t>1kg</t>
  </si>
  <si>
    <t>stock lick</t>
  </si>
  <si>
    <t>KEBS</t>
  </si>
  <si>
    <t>mineral bricks</t>
  </si>
  <si>
    <t xml:space="preserve">African Limited </t>
  </si>
  <si>
    <t>poultry and animal salt</t>
  </si>
  <si>
    <t>Prime cockfeeds</t>
  </si>
  <si>
    <t>MILKING SALVE</t>
  </si>
  <si>
    <t>Milking Salve</t>
  </si>
  <si>
    <t xml:space="preserve">CKL African Limited </t>
  </si>
  <si>
    <t>50gm</t>
  </si>
  <si>
    <t xml:space="preserve">Milking Salve </t>
  </si>
  <si>
    <t xml:space="preserve">FEEDERS </t>
  </si>
  <si>
    <t xml:space="preserve">Feeders </t>
  </si>
  <si>
    <t>3Litres</t>
  </si>
  <si>
    <t>6Litres</t>
  </si>
  <si>
    <t>10Litres</t>
  </si>
  <si>
    <t>FEEDS</t>
  </si>
  <si>
    <t>Crumbs</t>
  </si>
  <si>
    <t>FUGO</t>
  </si>
  <si>
    <t>50kgs</t>
  </si>
  <si>
    <t>Growers</t>
  </si>
  <si>
    <t>Layers Mash</t>
  </si>
  <si>
    <t>Finisher pellets</t>
  </si>
  <si>
    <t>Dairy meal</t>
  </si>
  <si>
    <t>Dairy meal stands</t>
  </si>
  <si>
    <t>Pembe Feeds</t>
  </si>
  <si>
    <t>50kg</t>
  </si>
  <si>
    <t>Dairy super yield</t>
  </si>
  <si>
    <t>Layers</t>
  </si>
  <si>
    <t xml:space="preserve">50kgs </t>
  </si>
  <si>
    <t>FISH FOOD</t>
  </si>
  <si>
    <t>Tilapia Growers</t>
  </si>
  <si>
    <t>22kgs</t>
  </si>
  <si>
    <t>Tilapia starter</t>
  </si>
  <si>
    <t>6kgs</t>
  </si>
  <si>
    <t>Tilapia pregrower</t>
  </si>
  <si>
    <t>Tilapia finisher</t>
  </si>
  <si>
    <t>25kgs</t>
  </si>
  <si>
    <t>MOLA PLUS</t>
  </si>
  <si>
    <t xml:space="preserve">Advanced Dairy meal </t>
  </si>
  <si>
    <t>5kgs</t>
  </si>
  <si>
    <t>Mola plus (Milk Booster)</t>
  </si>
  <si>
    <t xml:space="preserve">5kgs </t>
  </si>
  <si>
    <t xml:space="preserve">CEREALS </t>
  </si>
  <si>
    <t>Pishori Rice</t>
  </si>
  <si>
    <t>41kgs</t>
  </si>
  <si>
    <t>Ndengu</t>
  </si>
  <si>
    <t>40kgs</t>
  </si>
  <si>
    <t>Yellow Beans</t>
  </si>
  <si>
    <t>43kgs</t>
  </si>
  <si>
    <t xml:space="preserve">DRINKERS </t>
  </si>
  <si>
    <t>10litres</t>
  </si>
  <si>
    <t>FERTILIZERS</t>
  </si>
  <si>
    <t>Urea</t>
  </si>
  <si>
    <t>Microp</t>
  </si>
  <si>
    <t>TOTAL SALES</t>
  </si>
  <si>
    <t>TOTALS</t>
  </si>
  <si>
    <t>OPENING STOCK AS AT 01/03/2026</t>
  </si>
  <si>
    <t>CLOSING STOCK AS AT 15/03/2026</t>
  </si>
  <si>
    <t>OPENING STOCK AS AT 16/03/2026</t>
  </si>
  <si>
    <t>CLOSING STOCK AS AT 31/03/2026</t>
  </si>
  <si>
    <t>Dizon 60EC</t>
  </si>
  <si>
    <t>1 Litre</t>
  </si>
  <si>
    <t>OPENING STOCK AS AT 01/04/2026</t>
  </si>
  <si>
    <t>CLOSING STOCK AS AT 14/04/2026</t>
  </si>
  <si>
    <t>OPENING STOCK AS AT 15/04/2026</t>
  </si>
  <si>
    <t>CLOSING STOCK AS AT 30/04/2026</t>
  </si>
  <si>
    <t>50gms</t>
  </si>
  <si>
    <t>OPENING STOCK AS AT 01/05/2026</t>
  </si>
  <si>
    <t>CLOSING STOCK AS AT 15/05/2026</t>
  </si>
  <si>
    <t>OPENING STOCK AS AT 16/05/2026</t>
  </si>
  <si>
    <t>CLOSING STOCK AS AT 31/05/2026</t>
  </si>
  <si>
    <t>OPENING STOCK AS AT 01/06/2026</t>
  </si>
  <si>
    <t>CLOSING STOCK AS AT 14/06/2026</t>
  </si>
  <si>
    <t>OPENING STOCK AS AT 15/06/2026</t>
  </si>
  <si>
    <t>CLOSING STOCK AS AT 30/06/2026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</si>
</sst>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name val="Arial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5"/>
      <color rgb="FF000000"/>
      <name val="Calibri"/>
      <charset val="134"/>
    </font>
    <font>
      <b/>
      <sz val="12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6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6" fillId="4" borderId="16" applyNumberFormat="0" applyAlignment="0" applyProtection="0">
      <alignment vertical="center"/>
    </xf>
    <xf numFmtId="0" fontId="17" fillId="5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top"/>
    </xf>
    <xf numFmtId="0" fontId="0" fillId="0" borderId="0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>
      <alignment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>
      <alignment vertical="center"/>
    </xf>
    <xf numFmtId="0" fontId="2" fillId="0" borderId="3" xfId="0" applyFont="1" applyBorder="1" applyAlignment="1">
      <alignment horizontal="center" vertical="top"/>
    </xf>
    <xf numFmtId="0" fontId="1" fillId="0" borderId="9" xfId="0" applyFont="1" applyBorder="1" applyAlignment="1"/>
    <xf numFmtId="0" fontId="1" fillId="0" borderId="5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2" fillId="0" borderId="9" xfId="0" applyFont="1" applyBorder="1" applyAlignment="1"/>
    <xf numFmtId="0" fontId="2" fillId="0" borderId="9" xfId="0" applyNumberFormat="1" applyFont="1" applyBorder="1" applyAlignment="1"/>
    <xf numFmtId="0" fontId="3" fillId="0" borderId="10" xfId="0" applyFont="1" applyBorder="1" applyAlignment="1">
      <alignment horizontal="center" vertical="top" wrapText="1"/>
    </xf>
    <xf numFmtId="0" fontId="0" fillId="0" borderId="1" xfId="0" applyFont="1" applyBorder="1">
      <alignment vertical="center"/>
    </xf>
    <xf numFmtId="0" fontId="0" fillId="0" borderId="2" xfId="0" applyFont="1" applyBorder="1">
      <alignment vertical="center"/>
    </xf>
    <xf numFmtId="0" fontId="0" fillId="0" borderId="11" xfId="0" applyFont="1" applyBorder="1">
      <alignment vertical="center"/>
    </xf>
    <xf numFmtId="0" fontId="0" fillId="0" borderId="4" xfId="0" applyFont="1" applyBorder="1">
      <alignment vertical="center"/>
    </xf>
    <xf numFmtId="0" fontId="0" fillId="0" borderId="12" xfId="0" applyFont="1" applyBorder="1">
      <alignment vertical="center"/>
    </xf>
    <xf numFmtId="0" fontId="0" fillId="0" borderId="6" xfId="0" applyFont="1" applyBorder="1">
      <alignment vertical="center"/>
    </xf>
    <xf numFmtId="0" fontId="0" fillId="0" borderId="7" xfId="0" applyFont="1" applyBorder="1">
      <alignment vertical="center"/>
    </xf>
    <xf numFmtId="0" fontId="1" fillId="0" borderId="3" xfId="0" applyFont="1" applyBorder="1" applyAlignment="1"/>
    <xf numFmtId="0" fontId="1" fillId="0" borderId="5" xfId="0" applyFont="1" applyBorder="1" applyAlignment="1"/>
    <xf numFmtId="0" fontId="4" fillId="0" borderId="9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5"/>
  <sheetViews>
    <sheetView zoomScale="62" zoomScaleNormal="62" topLeftCell="E49" workbookViewId="0">
      <selection activeCell="P70" sqref="P70"/>
    </sheetView>
  </sheetViews>
  <sheetFormatPr defaultColWidth="14" defaultRowHeight="15" customHeight="1"/>
  <cols>
    <col min="1" max="1" width="11.125" customWidth="1"/>
    <col min="2" max="2" width="14.125" customWidth="1"/>
    <col min="3" max="3" width="21" customWidth="1"/>
    <col min="4" max="4" width="24.75" customWidth="1"/>
    <col min="5" max="6" width="9.125" customWidth="1"/>
    <col min="7" max="7" width="41.125" customWidth="1"/>
    <col min="8" max="8" width="16.125" customWidth="1"/>
    <col min="9" max="10" width="35.125" customWidth="1"/>
    <col min="11" max="11" width="17.25" customWidth="1"/>
    <col min="12" max="12" width="9.125" customWidth="1"/>
    <col min="13" max="13" width="31.125" customWidth="1"/>
    <col min="14" max="14" width="22.625" customWidth="1"/>
    <col min="15" max="15" width="32.125" customWidth="1"/>
    <col min="16" max="16" width="16.625" customWidth="1"/>
    <col min="17" max="17" width="19.875" customWidth="1"/>
  </cols>
  <sheetData>
    <row r="1" customHeight="1" spans="1:17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8"/>
      <c r="L1" s="11"/>
      <c r="M1" s="3"/>
      <c r="N1" s="3"/>
      <c r="O1" s="3"/>
      <c r="P1" s="3"/>
      <c r="Q1" s="3"/>
    </row>
    <row r="2" customHeight="1" spans="1:17">
      <c r="A2" s="19"/>
      <c r="K2" s="20"/>
      <c r="L2" s="11"/>
      <c r="M2" s="6"/>
      <c r="N2" s="6"/>
      <c r="O2" s="6"/>
      <c r="P2" s="6"/>
      <c r="Q2" s="6"/>
    </row>
    <row r="3" customHeight="1" spans="1:17">
      <c r="A3" s="21"/>
      <c r="B3" s="22"/>
      <c r="C3" s="22"/>
      <c r="D3" s="22"/>
      <c r="E3" s="22"/>
      <c r="F3" s="22"/>
      <c r="G3" s="22"/>
      <c r="H3" s="22"/>
      <c r="I3" s="22"/>
      <c r="J3" s="22"/>
      <c r="K3" s="23"/>
      <c r="L3" s="11"/>
      <c r="M3" s="9"/>
      <c r="N3" s="9"/>
      <c r="O3" s="9"/>
      <c r="P3" s="9"/>
      <c r="Q3" s="9"/>
    </row>
    <row r="4" ht="14.25" customHeight="1" spans="1:17">
      <c r="A4" s="10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  <c r="K4" s="10" t="s">
        <v>11</v>
      </c>
      <c r="L4" s="11"/>
      <c r="M4" s="10" t="s">
        <v>12</v>
      </c>
      <c r="N4" s="10" t="s">
        <v>8</v>
      </c>
      <c r="O4" s="10" t="s">
        <v>13</v>
      </c>
      <c r="P4" s="10" t="s">
        <v>14</v>
      </c>
      <c r="Q4" s="10" t="s">
        <v>15</v>
      </c>
    </row>
    <row r="5" ht="14.25" customHeight="1" spans="1:17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"/>
      <c r="M5" s="9"/>
      <c r="N5" s="9"/>
      <c r="O5" s="9"/>
      <c r="P5" s="9"/>
      <c r="Q5" s="9"/>
    </row>
    <row r="6" ht="14.25" customHeight="1" spans="1:17">
      <c r="A6" s="3">
        <v>1</v>
      </c>
      <c r="B6" s="3" t="s">
        <v>16</v>
      </c>
      <c r="C6" s="11" t="s">
        <v>17</v>
      </c>
      <c r="D6" s="11" t="s">
        <v>18</v>
      </c>
      <c r="E6" s="11" t="s">
        <v>19</v>
      </c>
      <c r="F6" s="11">
        <v>700</v>
      </c>
      <c r="G6" s="11">
        <v>12</v>
      </c>
      <c r="H6" s="11">
        <v>6</v>
      </c>
      <c r="I6" s="11">
        <v>11</v>
      </c>
      <c r="J6" s="11">
        <f t="shared" ref="J6:J14" si="0">G6+H6-I6</f>
        <v>7</v>
      </c>
      <c r="K6" s="11">
        <f t="shared" ref="K6:K13" si="1">F6*J6</f>
        <v>4900</v>
      </c>
      <c r="L6" s="11"/>
      <c r="M6" s="11">
        <v>11</v>
      </c>
      <c r="N6" s="11">
        <v>24</v>
      </c>
      <c r="O6" s="11">
        <v>1</v>
      </c>
      <c r="P6" s="11">
        <v>34</v>
      </c>
      <c r="Q6" s="11">
        <f t="shared" ref="Q6:Q14" si="2">F6*P6</f>
        <v>23800</v>
      </c>
    </row>
    <row r="7" ht="14.25" customHeight="1" spans="1:17">
      <c r="A7" s="12"/>
      <c r="B7" s="12"/>
      <c r="C7" s="11" t="s">
        <v>20</v>
      </c>
      <c r="D7" s="11" t="s">
        <v>21</v>
      </c>
      <c r="E7" s="11" t="s">
        <v>19</v>
      </c>
      <c r="F7" s="11">
        <v>950</v>
      </c>
      <c r="G7" s="11">
        <v>4</v>
      </c>
      <c r="H7" s="11">
        <v>0</v>
      </c>
      <c r="I7" s="11">
        <v>3</v>
      </c>
      <c r="J7" s="11">
        <f t="shared" si="0"/>
        <v>1</v>
      </c>
      <c r="K7" s="11">
        <f t="shared" si="1"/>
        <v>950</v>
      </c>
      <c r="L7" s="11"/>
      <c r="M7" s="11">
        <v>3</v>
      </c>
      <c r="N7" s="11">
        <v>10</v>
      </c>
      <c r="O7" s="11">
        <v>1</v>
      </c>
      <c r="P7" s="11">
        <v>14</v>
      </c>
      <c r="Q7" s="11">
        <f t="shared" si="2"/>
        <v>13300</v>
      </c>
    </row>
    <row r="8" ht="14.25" customHeight="1" spans="1:17">
      <c r="A8" s="12"/>
      <c r="B8" s="12"/>
      <c r="C8" s="11" t="s">
        <v>22</v>
      </c>
      <c r="D8" s="11" t="s">
        <v>21</v>
      </c>
      <c r="E8" s="11" t="s">
        <v>19</v>
      </c>
      <c r="F8" s="11">
        <v>850</v>
      </c>
      <c r="G8" s="11">
        <v>5</v>
      </c>
      <c r="H8" s="11">
        <v>0</v>
      </c>
      <c r="I8" s="11">
        <v>3</v>
      </c>
      <c r="J8" s="11">
        <f t="shared" si="0"/>
        <v>2</v>
      </c>
      <c r="K8" s="11">
        <f t="shared" si="1"/>
        <v>1700</v>
      </c>
      <c r="L8" s="11"/>
      <c r="M8" s="11">
        <v>3</v>
      </c>
      <c r="N8" s="11">
        <v>16</v>
      </c>
      <c r="O8" s="11">
        <v>8</v>
      </c>
      <c r="P8" s="11">
        <v>11</v>
      </c>
      <c r="Q8" s="11">
        <f t="shared" si="2"/>
        <v>9350</v>
      </c>
    </row>
    <row r="9" ht="14.25" customHeight="1" spans="1:17">
      <c r="A9" s="12"/>
      <c r="B9" s="12"/>
      <c r="C9" s="11" t="s">
        <v>23</v>
      </c>
      <c r="D9" s="11" t="s">
        <v>24</v>
      </c>
      <c r="E9" s="11" t="s">
        <v>19</v>
      </c>
      <c r="F9" s="11">
        <v>850</v>
      </c>
      <c r="G9" s="11">
        <v>6</v>
      </c>
      <c r="H9" s="11">
        <v>0</v>
      </c>
      <c r="I9" s="11">
        <v>3</v>
      </c>
      <c r="J9" s="11">
        <f t="shared" si="0"/>
        <v>3</v>
      </c>
      <c r="K9" s="11">
        <f t="shared" si="1"/>
        <v>2550</v>
      </c>
      <c r="L9" s="11"/>
      <c r="M9" s="11">
        <v>3</v>
      </c>
      <c r="N9" s="11">
        <v>6</v>
      </c>
      <c r="O9" s="11">
        <v>2</v>
      </c>
      <c r="P9" s="11">
        <v>7</v>
      </c>
      <c r="Q9" s="11">
        <f t="shared" si="2"/>
        <v>5950</v>
      </c>
    </row>
    <row r="10" ht="14.25" customHeight="1" spans="1:17">
      <c r="A10" s="12"/>
      <c r="B10" s="12"/>
      <c r="C10" s="11" t="s">
        <v>25</v>
      </c>
      <c r="D10" s="11" t="s">
        <v>24</v>
      </c>
      <c r="E10" s="11" t="s">
        <v>19</v>
      </c>
      <c r="F10" s="11">
        <v>850</v>
      </c>
      <c r="G10" s="11">
        <v>12</v>
      </c>
      <c r="H10" s="11">
        <v>0</v>
      </c>
      <c r="I10" s="11">
        <v>11</v>
      </c>
      <c r="J10" s="11">
        <f t="shared" si="0"/>
        <v>1</v>
      </c>
      <c r="K10" s="11">
        <f t="shared" si="1"/>
        <v>850</v>
      </c>
      <c r="L10" s="11"/>
      <c r="M10" s="11">
        <v>11</v>
      </c>
      <c r="N10" s="11">
        <v>6</v>
      </c>
      <c r="O10" s="11">
        <v>2</v>
      </c>
      <c r="P10" s="11">
        <v>15</v>
      </c>
      <c r="Q10" s="11">
        <f t="shared" si="2"/>
        <v>12750</v>
      </c>
    </row>
    <row r="11" ht="14.25" customHeight="1" spans="1:17">
      <c r="A11" s="12"/>
      <c r="B11" s="12"/>
      <c r="C11" s="11" t="s">
        <v>26</v>
      </c>
      <c r="D11" s="11" t="s">
        <v>27</v>
      </c>
      <c r="E11" s="11" t="s">
        <v>19</v>
      </c>
      <c r="F11" s="11">
        <v>950</v>
      </c>
      <c r="G11" s="11">
        <v>6</v>
      </c>
      <c r="H11" s="11">
        <v>6</v>
      </c>
      <c r="I11" s="11">
        <v>5</v>
      </c>
      <c r="J11" s="11">
        <f t="shared" si="0"/>
        <v>7</v>
      </c>
      <c r="K11" s="11">
        <f t="shared" si="1"/>
        <v>6650</v>
      </c>
      <c r="L11" s="11"/>
      <c r="M11" s="11">
        <v>5</v>
      </c>
      <c r="N11" s="11">
        <v>12</v>
      </c>
      <c r="O11" s="11">
        <v>0</v>
      </c>
      <c r="P11" s="11">
        <v>17</v>
      </c>
      <c r="Q11" s="11">
        <f t="shared" si="2"/>
        <v>16150</v>
      </c>
    </row>
    <row r="12" ht="14.25" customHeight="1" spans="1:17">
      <c r="A12" s="12"/>
      <c r="B12" s="12"/>
      <c r="C12" s="11" t="s">
        <v>28</v>
      </c>
      <c r="D12" s="11" t="s">
        <v>29</v>
      </c>
      <c r="E12" s="11" t="s">
        <v>30</v>
      </c>
      <c r="F12" s="11">
        <v>90</v>
      </c>
      <c r="G12" s="11">
        <v>8</v>
      </c>
      <c r="H12" s="11">
        <v>0</v>
      </c>
      <c r="I12" s="11">
        <v>7</v>
      </c>
      <c r="J12" s="11">
        <f t="shared" si="0"/>
        <v>1</v>
      </c>
      <c r="K12" s="11">
        <f t="shared" si="1"/>
        <v>90</v>
      </c>
      <c r="L12" s="11"/>
      <c r="M12" s="11">
        <v>7</v>
      </c>
      <c r="N12" s="11">
        <v>0</v>
      </c>
      <c r="O12" s="11">
        <v>7</v>
      </c>
      <c r="P12" s="11">
        <v>0</v>
      </c>
      <c r="Q12" s="11">
        <f t="shared" si="2"/>
        <v>0</v>
      </c>
    </row>
    <row r="13" ht="14.25" customHeight="1" spans="1:17">
      <c r="A13" s="12"/>
      <c r="B13" s="12"/>
      <c r="C13" s="11" t="s">
        <v>31</v>
      </c>
      <c r="D13" s="11" t="s">
        <v>32</v>
      </c>
      <c r="E13" s="11" t="s">
        <v>33</v>
      </c>
      <c r="F13" s="11">
        <v>120</v>
      </c>
      <c r="G13" s="11">
        <v>6</v>
      </c>
      <c r="H13" s="11">
        <v>0</v>
      </c>
      <c r="I13" s="11">
        <v>5</v>
      </c>
      <c r="J13" s="11">
        <f t="shared" si="0"/>
        <v>1</v>
      </c>
      <c r="K13" s="11">
        <f t="shared" si="1"/>
        <v>120</v>
      </c>
      <c r="L13" s="11"/>
      <c r="M13" s="11">
        <v>5</v>
      </c>
      <c r="N13" s="11">
        <v>0</v>
      </c>
      <c r="O13" s="11">
        <v>4</v>
      </c>
      <c r="P13" s="11">
        <v>1</v>
      </c>
      <c r="Q13" s="11">
        <f t="shared" si="2"/>
        <v>120</v>
      </c>
    </row>
    <row r="14" ht="14.25" customHeight="1" spans="1:17">
      <c r="A14" s="12"/>
      <c r="B14" s="12"/>
      <c r="C14" s="11" t="s">
        <v>31</v>
      </c>
      <c r="D14" s="11" t="s">
        <v>32</v>
      </c>
      <c r="E14" s="11" t="s">
        <v>30</v>
      </c>
      <c r="F14" s="11">
        <v>100</v>
      </c>
      <c r="G14" s="11">
        <v>6</v>
      </c>
      <c r="H14" s="11">
        <v>0</v>
      </c>
      <c r="I14" s="11">
        <v>5</v>
      </c>
      <c r="J14" s="11">
        <f t="shared" si="0"/>
        <v>1</v>
      </c>
      <c r="K14" s="11">
        <v>100</v>
      </c>
      <c r="L14" s="11"/>
      <c r="M14" s="11">
        <v>5</v>
      </c>
      <c r="N14" s="11">
        <v>0</v>
      </c>
      <c r="O14" s="11">
        <v>5</v>
      </c>
      <c r="P14" s="11">
        <v>0</v>
      </c>
      <c r="Q14" s="11">
        <f t="shared" si="2"/>
        <v>0</v>
      </c>
    </row>
    <row r="15" ht="14.25" customHeight="1" spans="1:17">
      <c r="A15" s="12"/>
      <c r="B15" s="12"/>
      <c r="C15" s="11" t="s">
        <v>34</v>
      </c>
      <c r="D15" s="11"/>
      <c r="E15" s="11" t="s">
        <v>33</v>
      </c>
      <c r="F15" s="11">
        <v>100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/>
      <c r="M15" s="11">
        <v>0</v>
      </c>
      <c r="N15" s="11">
        <v>5</v>
      </c>
      <c r="O15" s="11">
        <v>5</v>
      </c>
      <c r="P15" s="11">
        <v>0</v>
      </c>
      <c r="Q15" s="11">
        <v>0</v>
      </c>
    </row>
    <row r="16" ht="14.25" customHeight="1" spans="1:17">
      <c r="A16" s="3">
        <v>2</v>
      </c>
      <c r="B16" s="3" t="s">
        <v>35</v>
      </c>
      <c r="C16" s="11" t="s">
        <v>36</v>
      </c>
      <c r="D16" s="11"/>
      <c r="E16" s="11" t="s">
        <v>37</v>
      </c>
      <c r="F16" s="11">
        <v>120</v>
      </c>
      <c r="G16" s="11">
        <v>0</v>
      </c>
      <c r="H16" s="11">
        <v>10</v>
      </c>
      <c r="I16" s="11">
        <v>10</v>
      </c>
      <c r="J16" s="11">
        <f t="shared" ref="J16:J24" si="3">G16+H16-I16</f>
        <v>0</v>
      </c>
      <c r="K16" s="11">
        <f t="shared" ref="K16:K24" si="4">F16*J16</f>
        <v>0</v>
      </c>
      <c r="L16" s="11"/>
      <c r="M16" s="11">
        <v>10</v>
      </c>
      <c r="N16" s="11">
        <v>0</v>
      </c>
      <c r="O16" s="11">
        <v>10</v>
      </c>
      <c r="P16" s="11">
        <v>0</v>
      </c>
      <c r="Q16" s="11">
        <f t="shared" ref="Q16:Q24" si="5">F16*P16</f>
        <v>0</v>
      </c>
    </row>
    <row r="17" ht="14.25" customHeight="1" spans="1:17">
      <c r="A17" s="6"/>
      <c r="B17" s="6"/>
      <c r="C17" s="11" t="s">
        <v>38</v>
      </c>
      <c r="D17" s="11" t="s">
        <v>39</v>
      </c>
      <c r="E17" s="11" t="s">
        <v>40</v>
      </c>
      <c r="F17" s="11">
        <v>120</v>
      </c>
      <c r="G17" s="11">
        <v>5</v>
      </c>
      <c r="H17" s="11">
        <v>12</v>
      </c>
      <c r="I17" s="11">
        <v>12</v>
      </c>
      <c r="J17" s="11">
        <f t="shared" si="3"/>
        <v>5</v>
      </c>
      <c r="K17" s="11">
        <f t="shared" si="4"/>
        <v>600</v>
      </c>
      <c r="L17" s="11"/>
      <c r="M17" s="11">
        <v>12</v>
      </c>
      <c r="N17" s="11">
        <v>0</v>
      </c>
      <c r="O17" s="11">
        <v>11</v>
      </c>
      <c r="P17" s="11">
        <v>1</v>
      </c>
      <c r="Q17" s="11">
        <f t="shared" si="5"/>
        <v>120</v>
      </c>
    </row>
    <row r="18" ht="14.25" customHeight="1" spans="1:17">
      <c r="A18" s="6"/>
      <c r="B18" s="6"/>
      <c r="C18" s="11" t="s">
        <v>38</v>
      </c>
      <c r="D18" s="11" t="s">
        <v>39</v>
      </c>
      <c r="E18" s="11" t="s">
        <v>41</v>
      </c>
      <c r="F18" s="11">
        <v>250</v>
      </c>
      <c r="G18" s="11">
        <v>4</v>
      </c>
      <c r="H18" s="11">
        <v>12</v>
      </c>
      <c r="I18" s="11">
        <v>15</v>
      </c>
      <c r="J18" s="11">
        <f t="shared" si="3"/>
        <v>1</v>
      </c>
      <c r="K18" s="11">
        <f t="shared" si="4"/>
        <v>250</v>
      </c>
      <c r="L18" s="11"/>
      <c r="M18" s="11">
        <v>15</v>
      </c>
      <c r="N18" s="11">
        <v>0</v>
      </c>
      <c r="O18" s="11">
        <v>13</v>
      </c>
      <c r="P18" s="11">
        <v>2</v>
      </c>
      <c r="Q18" s="11">
        <f t="shared" si="5"/>
        <v>500</v>
      </c>
    </row>
    <row r="19" ht="14.25" customHeight="1" spans="1:17">
      <c r="A19" s="6"/>
      <c r="B19" s="6"/>
      <c r="C19" s="11" t="s">
        <v>42</v>
      </c>
      <c r="D19" s="11" t="s">
        <v>43</v>
      </c>
      <c r="E19" s="11" t="s">
        <v>44</v>
      </c>
      <c r="F19" s="11">
        <v>120</v>
      </c>
      <c r="G19" s="11">
        <v>4</v>
      </c>
      <c r="H19" s="11">
        <v>0</v>
      </c>
      <c r="I19" s="11">
        <v>3</v>
      </c>
      <c r="J19" s="11">
        <f t="shared" si="3"/>
        <v>1</v>
      </c>
      <c r="K19" s="11">
        <f t="shared" si="4"/>
        <v>120</v>
      </c>
      <c r="L19" s="11"/>
      <c r="M19" s="11">
        <v>3</v>
      </c>
      <c r="N19" s="11">
        <v>0</v>
      </c>
      <c r="O19" s="11">
        <v>3</v>
      </c>
      <c r="P19" s="11">
        <v>0</v>
      </c>
      <c r="Q19" s="11">
        <f t="shared" si="5"/>
        <v>0</v>
      </c>
    </row>
    <row r="20" ht="14.25" customHeight="1" spans="1:17">
      <c r="A20" s="6"/>
      <c r="B20" s="6"/>
      <c r="C20" s="11" t="s">
        <v>45</v>
      </c>
      <c r="D20" s="11" t="s">
        <v>46</v>
      </c>
      <c r="E20" s="11" t="s">
        <v>41</v>
      </c>
      <c r="F20" s="11">
        <v>200</v>
      </c>
      <c r="G20" s="11">
        <v>5</v>
      </c>
      <c r="H20" s="11">
        <v>0</v>
      </c>
      <c r="I20" s="11">
        <v>3</v>
      </c>
      <c r="J20" s="11">
        <f t="shared" si="3"/>
        <v>2</v>
      </c>
      <c r="K20" s="11">
        <f t="shared" si="4"/>
        <v>400</v>
      </c>
      <c r="L20" s="11"/>
      <c r="M20" s="11">
        <v>3</v>
      </c>
      <c r="N20" s="11">
        <v>0</v>
      </c>
      <c r="O20" s="11">
        <v>3</v>
      </c>
      <c r="P20" s="11">
        <v>0</v>
      </c>
      <c r="Q20" s="11">
        <f t="shared" si="5"/>
        <v>0</v>
      </c>
    </row>
    <row r="21" customHeight="1" spans="1:17">
      <c r="A21" s="6"/>
      <c r="B21" s="6"/>
      <c r="C21" s="11" t="s">
        <v>47</v>
      </c>
      <c r="D21" s="11"/>
      <c r="E21" s="11" t="s">
        <v>37</v>
      </c>
      <c r="F21" s="11">
        <v>100</v>
      </c>
      <c r="G21" s="11">
        <v>6</v>
      </c>
      <c r="H21" s="11">
        <v>0</v>
      </c>
      <c r="I21" s="11">
        <v>6</v>
      </c>
      <c r="J21" s="11">
        <f t="shared" si="3"/>
        <v>0</v>
      </c>
      <c r="K21" s="11">
        <f t="shared" si="4"/>
        <v>0</v>
      </c>
      <c r="L21" s="11"/>
      <c r="M21" s="11">
        <v>6</v>
      </c>
      <c r="N21" s="11">
        <v>0</v>
      </c>
      <c r="O21" s="11">
        <v>6</v>
      </c>
      <c r="P21" s="11">
        <v>0</v>
      </c>
      <c r="Q21" s="11">
        <f t="shared" si="5"/>
        <v>0</v>
      </c>
    </row>
    <row r="22" customHeight="1" spans="1:17">
      <c r="A22" s="6"/>
      <c r="B22" s="6"/>
      <c r="C22" s="11" t="s">
        <v>48</v>
      </c>
      <c r="D22" s="11"/>
      <c r="E22" s="11" t="s">
        <v>49</v>
      </c>
      <c r="F22" s="11">
        <v>100</v>
      </c>
      <c r="G22" s="11">
        <v>0</v>
      </c>
      <c r="H22" s="11">
        <v>12</v>
      </c>
      <c r="I22" s="11">
        <v>12</v>
      </c>
      <c r="J22" s="11">
        <f t="shared" si="3"/>
        <v>0</v>
      </c>
      <c r="K22" s="11">
        <f t="shared" si="4"/>
        <v>0</v>
      </c>
      <c r="L22" s="11"/>
      <c r="M22" s="11">
        <v>12</v>
      </c>
      <c r="N22" s="11">
        <v>0</v>
      </c>
      <c r="O22" s="11">
        <v>10</v>
      </c>
      <c r="P22" s="11">
        <v>2</v>
      </c>
      <c r="Q22" s="11">
        <f t="shared" si="5"/>
        <v>200</v>
      </c>
    </row>
    <row r="23" customHeight="1" spans="1:17">
      <c r="A23" s="9"/>
      <c r="B23" s="9"/>
      <c r="C23" s="11" t="s">
        <v>50</v>
      </c>
      <c r="D23" s="11"/>
      <c r="E23" s="11" t="s">
        <v>51</v>
      </c>
      <c r="F23" s="11">
        <v>150</v>
      </c>
      <c r="G23" s="11">
        <v>0</v>
      </c>
      <c r="H23" s="11">
        <v>12</v>
      </c>
      <c r="I23" s="11">
        <v>12</v>
      </c>
      <c r="J23" s="11">
        <f t="shared" si="3"/>
        <v>0</v>
      </c>
      <c r="K23" s="11">
        <f t="shared" si="4"/>
        <v>0</v>
      </c>
      <c r="L23" s="11"/>
      <c r="M23" s="11">
        <v>12</v>
      </c>
      <c r="N23" s="11">
        <v>0</v>
      </c>
      <c r="O23" s="11">
        <v>12</v>
      </c>
      <c r="P23" s="11">
        <v>0</v>
      </c>
      <c r="Q23" s="11">
        <f t="shared" si="5"/>
        <v>0</v>
      </c>
    </row>
    <row r="24" ht="14.25" customHeight="1" spans="1:17">
      <c r="A24" s="3">
        <v>3</v>
      </c>
      <c r="B24" s="3" t="s">
        <v>52</v>
      </c>
      <c r="C24" s="11" t="s">
        <v>53</v>
      </c>
      <c r="D24" s="11"/>
      <c r="E24" s="11" t="s">
        <v>54</v>
      </c>
      <c r="F24" s="11">
        <v>100</v>
      </c>
      <c r="G24" s="11">
        <v>6</v>
      </c>
      <c r="H24" s="11">
        <v>0</v>
      </c>
      <c r="I24" s="11">
        <v>6</v>
      </c>
      <c r="J24" s="11">
        <f t="shared" si="3"/>
        <v>0</v>
      </c>
      <c r="K24" s="11">
        <f t="shared" si="4"/>
        <v>0</v>
      </c>
      <c r="L24" s="11"/>
      <c r="M24" s="11">
        <v>6</v>
      </c>
      <c r="N24" s="11">
        <v>12</v>
      </c>
      <c r="O24" s="11">
        <v>17</v>
      </c>
      <c r="P24" s="11">
        <v>1</v>
      </c>
      <c r="Q24" s="11">
        <f t="shared" si="5"/>
        <v>100</v>
      </c>
    </row>
    <row r="25" ht="14.25" customHeight="1" spans="1:17">
      <c r="A25" s="12"/>
      <c r="B25" s="12"/>
      <c r="C25" s="11" t="s">
        <v>53</v>
      </c>
      <c r="D25" s="11"/>
      <c r="E25" s="11" t="s">
        <v>55</v>
      </c>
      <c r="F25" s="11">
        <v>200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/>
      <c r="M25" s="11">
        <v>0</v>
      </c>
      <c r="N25" s="11">
        <v>12</v>
      </c>
      <c r="O25" s="11">
        <v>12</v>
      </c>
      <c r="P25" s="11">
        <v>0</v>
      </c>
      <c r="Q25" s="11">
        <v>0</v>
      </c>
    </row>
    <row r="26" ht="14.25" customHeight="1" spans="1:17">
      <c r="A26" s="12"/>
      <c r="B26" s="12"/>
      <c r="C26" s="11" t="s">
        <v>56</v>
      </c>
      <c r="D26" s="11"/>
      <c r="E26" s="11" t="s">
        <v>54</v>
      </c>
      <c r="F26" s="11">
        <v>200</v>
      </c>
      <c r="G26" s="11">
        <v>6</v>
      </c>
      <c r="H26" s="11">
        <v>0</v>
      </c>
      <c r="I26" s="11">
        <v>6</v>
      </c>
      <c r="J26" s="11">
        <f t="shared" ref="J26:J37" si="6">G26+H26-I26</f>
        <v>0</v>
      </c>
      <c r="K26" s="11">
        <f t="shared" ref="K26:K37" si="7">F26*J26</f>
        <v>0</v>
      </c>
      <c r="L26" s="11"/>
      <c r="M26" s="11">
        <v>6</v>
      </c>
      <c r="N26" s="11">
        <v>0</v>
      </c>
      <c r="O26" s="11">
        <v>6</v>
      </c>
      <c r="P26" s="11">
        <v>0</v>
      </c>
      <c r="Q26" s="11">
        <f t="shared" ref="Q26:Q38" si="8">F26*P26</f>
        <v>0</v>
      </c>
    </row>
    <row r="27" ht="14.25" customHeight="1" spans="1:17">
      <c r="A27" s="12"/>
      <c r="B27" s="12"/>
      <c r="C27" s="11" t="s">
        <v>57</v>
      </c>
      <c r="D27" s="11"/>
      <c r="E27" s="11" t="s">
        <v>58</v>
      </c>
      <c r="F27" s="11">
        <v>270</v>
      </c>
      <c r="G27" s="11">
        <v>4</v>
      </c>
      <c r="H27" s="11">
        <v>0</v>
      </c>
      <c r="I27" s="11">
        <v>4</v>
      </c>
      <c r="J27" s="11">
        <f t="shared" si="6"/>
        <v>0</v>
      </c>
      <c r="K27" s="11">
        <f t="shared" si="7"/>
        <v>0</v>
      </c>
      <c r="L27" s="11"/>
      <c r="M27" s="11">
        <v>4</v>
      </c>
      <c r="N27" s="11">
        <v>0</v>
      </c>
      <c r="O27" s="11">
        <v>4</v>
      </c>
      <c r="P27" s="11">
        <v>0</v>
      </c>
      <c r="Q27" s="11">
        <f t="shared" si="8"/>
        <v>0</v>
      </c>
    </row>
    <row r="28" ht="14.25" customHeight="1" spans="1:17">
      <c r="A28" s="12"/>
      <c r="B28" s="12"/>
      <c r="C28" s="11" t="s">
        <v>57</v>
      </c>
      <c r="D28" s="11"/>
      <c r="E28" s="11" t="s">
        <v>59</v>
      </c>
      <c r="F28" s="11">
        <v>190</v>
      </c>
      <c r="G28" s="11">
        <v>6</v>
      </c>
      <c r="H28" s="11">
        <v>0</v>
      </c>
      <c r="I28" s="11">
        <v>6</v>
      </c>
      <c r="J28" s="11">
        <f t="shared" si="6"/>
        <v>0</v>
      </c>
      <c r="K28" s="11">
        <f t="shared" si="7"/>
        <v>0</v>
      </c>
      <c r="L28" s="11"/>
      <c r="M28" s="11">
        <v>6</v>
      </c>
      <c r="N28" s="11">
        <v>10</v>
      </c>
      <c r="O28" s="11">
        <v>13</v>
      </c>
      <c r="P28" s="11">
        <v>3</v>
      </c>
      <c r="Q28" s="11">
        <f t="shared" si="8"/>
        <v>570</v>
      </c>
    </row>
    <row r="29" ht="14.25" customHeight="1" spans="1:17">
      <c r="A29" s="12"/>
      <c r="B29" s="12"/>
      <c r="C29" s="11" t="s">
        <v>60</v>
      </c>
      <c r="D29" s="11"/>
      <c r="E29" s="11" t="s">
        <v>59</v>
      </c>
      <c r="F29" s="11">
        <v>350</v>
      </c>
      <c r="G29" s="11">
        <v>2</v>
      </c>
      <c r="H29" s="11">
        <v>0</v>
      </c>
      <c r="I29" s="11">
        <v>2</v>
      </c>
      <c r="J29" s="11">
        <f t="shared" si="6"/>
        <v>0</v>
      </c>
      <c r="K29" s="11">
        <f t="shared" si="7"/>
        <v>0</v>
      </c>
      <c r="L29" s="11"/>
      <c r="M29" s="11">
        <v>2</v>
      </c>
      <c r="N29" s="11">
        <v>0</v>
      </c>
      <c r="O29" s="11">
        <v>2</v>
      </c>
      <c r="P29" s="11">
        <v>0</v>
      </c>
      <c r="Q29" s="11">
        <f t="shared" si="8"/>
        <v>0</v>
      </c>
    </row>
    <row r="30" ht="14.25" customHeight="1" spans="1:17">
      <c r="A30" s="12"/>
      <c r="B30" s="12"/>
      <c r="C30" s="11" t="s">
        <v>61</v>
      </c>
      <c r="D30" s="11"/>
      <c r="E30" s="11" t="s">
        <v>55</v>
      </c>
      <c r="F30" s="11">
        <v>200</v>
      </c>
      <c r="G30" s="11">
        <v>12</v>
      </c>
      <c r="H30" s="11">
        <v>0</v>
      </c>
      <c r="I30" s="11">
        <v>12</v>
      </c>
      <c r="J30" s="11">
        <f t="shared" si="6"/>
        <v>0</v>
      </c>
      <c r="K30" s="11">
        <f t="shared" si="7"/>
        <v>0</v>
      </c>
      <c r="L30" s="11"/>
      <c r="M30" s="11">
        <v>12</v>
      </c>
      <c r="N30" s="11">
        <v>0</v>
      </c>
      <c r="O30" s="11">
        <v>9</v>
      </c>
      <c r="P30" s="11">
        <v>3</v>
      </c>
      <c r="Q30" s="11">
        <f t="shared" si="8"/>
        <v>600</v>
      </c>
    </row>
    <row r="31" ht="14.25" customHeight="1" spans="1:17">
      <c r="A31" s="12"/>
      <c r="B31" s="12"/>
      <c r="C31" s="11" t="s">
        <v>62</v>
      </c>
      <c r="D31" s="11"/>
      <c r="E31" s="11" t="s">
        <v>54</v>
      </c>
      <c r="F31" s="11">
        <v>150</v>
      </c>
      <c r="G31" s="11">
        <v>12</v>
      </c>
      <c r="H31" s="11">
        <v>0</v>
      </c>
      <c r="I31" s="11">
        <v>12</v>
      </c>
      <c r="J31" s="11">
        <f t="shared" si="6"/>
        <v>0</v>
      </c>
      <c r="K31" s="11">
        <f t="shared" si="7"/>
        <v>0</v>
      </c>
      <c r="L31" s="11"/>
      <c r="M31" s="11">
        <v>12</v>
      </c>
      <c r="N31" s="11">
        <v>0</v>
      </c>
      <c r="O31" s="11">
        <v>12</v>
      </c>
      <c r="P31" s="11">
        <v>0</v>
      </c>
      <c r="Q31" s="11">
        <f t="shared" si="8"/>
        <v>0</v>
      </c>
    </row>
    <row r="32" ht="14.25" customHeight="1" spans="1:17">
      <c r="A32" s="12"/>
      <c r="B32" s="12"/>
      <c r="C32" s="11" t="s">
        <v>63</v>
      </c>
      <c r="D32" s="11" t="s">
        <v>64</v>
      </c>
      <c r="E32" s="11" t="s">
        <v>65</v>
      </c>
      <c r="F32" s="11">
        <v>100</v>
      </c>
      <c r="G32" s="11">
        <v>24</v>
      </c>
      <c r="H32" s="11">
        <v>0</v>
      </c>
      <c r="I32" s="11">
        <v>11</v>
      </c>
      <c r="J32" s="11">
        <f t="shared" si="6"/>
        <v>13</v>
      </c>
      <c r="K32" s="11">
        <f t="shared" si="7"/>
        <v>1300</v>
      </c>
      <c r="L32" s="11"/>
      <c r="M32" s="11">
        <v>11</v>
      </c>
      <c r="N32" s="11">
        <v>48</v>
      </c>
      <c r="O32" s="11">
        <v>46</v>
      </c>
      <c r="P32" s="11">
        <v>13</v>
      </c>
      <c r="Q32" s="11">
        <f t="shared" si="8"/>
        <v>1300</v>
      </c>
    </row>
    <row r="33" ht="14.25" customHeight="1" spans="1:17">
      <c r="A33" s="12"/>
      <c r="B33" s="12"/>
      <c r="C33" s="11" t="s">
        <v>63</v>
      </c>
      <c r="D33" s="11" t="s">
        <v>64</v>
      </c>
      <c r="E33" s="11" t="s">
        <v>41</v>
      </c>
      <c r="F33" s="11">
        <v>150</v>
      </c>
      <c r="G33" s="11">
        <v>6</v>
      </c>
      <c r="H33" s="11">
        <v>48</v>
      </c>
      <c r="I33" s="11">
        <v>48</v>
      </c>
      <c r="J33" s="11">
        <f t="shared" si="6"/>
        <v>6</v>
      </c>
      <c r="K33" s="11">
        <f t="shared" si="7"/>
        <v>900</v>
      </c>
      <c r="L33" s="11"/>
      <c r="M33" s="11">
        <v>48</v>
      </c>
      <c r="N33" s="11">
        <v>24</v>
      </c>
      <c r="O33" s="11">
        <v>67</v>
      </c>
      <c r="P33" s="11">
        <v>5</v>
      </c>
      <c r="Q33" s="11">
        <f t="shared" si="8"/>
        <v>750</v>
      </c>
    </row>
    <row r="34" ht="14.25" customHeight="1" spans="1:17">
      <c r="A34" s="12"/>
      <c r="B34" s="12"/>
      <c r="C34" s="11" t="s">
        <v>63</v>
      </c>
      <c r="D34" s="11" t="s">
        <v>64</v>
      </c>
      <c r="E34" s="11" t="s">
        <v>66</v>
      </c>
      <c r="F34" s="11">
        <v>100</v>
      </c>
      <c r="G34" s="11">
        <v>6</v>
      </c>
      <c r="H34" s="11">
        <v>24</v>
      </c>
      <c r="I34" s="11">
        <v>25</v>
      </c>
      <c r="J34" s="11">
        <f t="shared" si="6"/>
        <v>5</v>
      </c>
      <c r="K34" s="11">
        <f t="shared" si="7"/>
        <v>500</v>
      </c>
      <c r="L34" s="11"/>
      <c r="M34" s="11">
        <v>25</v>
      </c>
      <c r="N34" s="11">
        <v>24</v>
      </c>
      <c r="O34" s="11">
        <v>44</v>
      </c>
      <c r="P34" s="11">
        <v>5</v>
      </c>
      <c r="Q34" s="11">
        <f t="shared" si="8"/>
        <v>500</v>
      </c>
    </row>
    <row r="35" ht="14.25" customHeight="1" spans="1:17">
      <c r="A35" s="12"/>
      <c r="B35" s="12"/>
      <c r="C35" s="11" t="s">
        <v>67</v>
      </c>
      <c r="D35" s="11" t="s">
        <v>68</v>
      </c>
      <c r="E35" s="11" t="s">
        <v>41</v>
      </c>
      <c r="F35" s="11">
        <v>150</v>
      </c>
      <c r="G35" s="11">
        <v>11</v>
      </c>
      <c r="H35" s="11">
        <v>0</v>
      </c>
      <c r="I35" s="11">
        <v>9</v>
      </c>
      <c r="J35" s="11">
        <f t="shared" si="6"/>
        <v>2</v>
      </c>
      <c r="K35" s="11">
        <f t="shared" si="7"/>
        <v>300</v>
      </c>
      <c r="L35" s="11"/>
      <c r="M35" s="11">
        <v>9</v>
      </c>
      <c r="N35" s="11">
        <v>0</v>
      </c>
      <c r="O35" s="11">
        <v>9</v>
      </c>
      <c r="P35" s="11">
        <v>0</v>
      </c>
      <c r="Q35" s="11">
        <f t="shared" si="8"/>
        <v>0</v>
      </c>
    </row>
    <row r="36" ht="14.25" customHeight="1" spans="1:17">
      <c r="A36" s="12"/>
      <c r="B36" s="12"/>
      <c r="C36" s="11" t="s">
        <v>69</v>
      </c>
      <c r="D36" s="11" t="s">
        <v>68</v>
      </c>
      <c r="E36" s="11" t="s">
        <v>66</v>
      </c>
      <c r="F36" s="11">
        <v>200</v>
      </c>
      <c r="G36" s="11">
        <v>12</v>
      </c>
      <c r="H36" s="11">
        <v>0</v>
      </c>
      <c r="I36" s="11">
        <v>12</v>
      </c>
      <c r="J36" s="11">
        <f t="shared" si="6"/>
        <v>0</v>
      </c>
      <c r="K36" s="11">
        <f t="shared" si="7"/>
        <v>0</v>
      </c>
      <c r="L36" s="11"/>
      <c r="M36" s="11">
        <v>12</v>
      </c>
      <c r="N36" s="11">
        <v>0</v>
      </c>
      <c r="O36" s="11">
        <v>12</v>
      </c>
      <c r="P36" s="11">
        <v>0</v>
      </c>
      <c r="Q36" s="11">
        <f t="shared" si="8"/>
        <v>0</v>
      </c>
    </row>
    <row r="37" ht="14.25" customHeight="1" spans="1:17">
      <c r="A37" s="12"/>
      <c r="B37" s="12"/>
      <c r="C37" s="11" t="s">
        <v>70</v>
      </c>
      <c r="D37" s="11"/>
      <c r="E37" s="11" t="s">
        <v>58</v>
      </c>
      <c r="F37" s="11">
        <v>300</v>
      </c>
      <c r="G37" s="11">
        <v>0</v>
      </c>
      <c r="H37" s="11">
        <v>7</v>
      </c>
      <c r="I37" s="11">
        <v>7</v>
      </c>
      <c r="J37" s="11">
        <f t="shared" si="6"/>
        <v>0</v>
      </c>
      <c r="K37" s="11">
        <f t="shared" si="7"/>
        <v>0</v>
      </c>
      <c r="L37" s="11"/>
      <c r="M37" s="11">
        <v>7</v>
      </c>
      <c r="N37" s="11">
        <v>0</v>
      </c>
      <c r="O37" s="11">
        <v>7</v>
      </c>
      <c r="P37" s="11">
        <v>0</v>
      </c>
      <c r="Q37" s="11">
        <f t="shared" si="8"/>
        <v>0</v>
      </c>
    </row>
    <row r="38" ht="14.25" customHeight="1" spans="1:17">
      <c r="A38" s="12"/>
      <c r="B38" s="12"/>
      <c r="C38" s="11" t="s">
        <v>70</v>
      </c>
      <c r="D38" s="11"/>
      <c r="E38" s="11" t="s">
        <v>59</v>
      </c>
      <c r="F38" s="11">
        <v>200</v>
      </c>
      <c r="G38" s="11">
        <v>0</v>
      </c>
      <c r="H38" s="11">
        <v>6</v>
      </c>
      <c r="I38" s="11">
        <v>6</v>
      </c>
      <c r="J38" s="11">
        <v>0</v>
      </c>
      <c r="K38" s="11">
        <v>0</v>
      </c>
      <c r="L38" s="11"/>
      <c r="M38" s="11">
        <v>6</v>
      </c>
      <c r="N38" s="11">
        <v>0</v>
      </c>
      <c r="O38" s="11">
        <v>4</v>
      </c>
      <c r="P38" s="11">
        <v>2</v>
      </c>
      <c r="Q38" s="11">
        <f t="shared" si="8"/>
        <v>400</v>
      </c>
    </row>
    <row r="39" ht="14.25" customHeight="1" spans="1:17">
      <c r="A39" s="13"/>
      <c r="B39" s="13"/>
      <c r="C39" s="11" t="s">
        <v>71</v>
      </c>
      <c r="D39" s="11"/>
      <c r="E39" s="11" t="s">
        <v>58</v>
      </c>
      <c r="F39" s="11"/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/>
      <c r="M39" s="11"/>
      <c r="N39" s="11"/>
      <c r="O39" s="11"/>
      <c r="P39" s="11"/>
      <c r="Q39" s="11"/>
    </row>
    <row r="40" ht="14.25" customHeight="1" spans="1:17">
      <c r="A40" s="3">
        <v>4</v>
      </c>
      <c r="B40" s="24" t="s">
        <v>72</v>
      </c>
      <c r="C40" s="11" t="s">
        <v>73</v>
      </c>
      <c r="D40" s="11" t="s">
        <v>74</v>
      </c>
      <c r="E40" s="11" t="s">
        <v>75</v>
      </c>
      <c r="F40" s="11">
        <v>200</v>
      </c>
      <c r="G40" s="11">
        <v>6</v>
      </c>
      <c r="H40" s="11">
        <v>0</v>
      </c>
      <c r="I40" s="11">
        <v>6</v>
      </c>
      <c r="J40" s="11">
        <f>G40+H40-I40</f>
        <v>0</v>
      </c>
      <c r="K40" s="11">
        <f>F40*J40</f>
        <v>0</v>
      </c>
      <c r="L40" s="11"/>
      <c r="M40" s="11">
        <v>6</v>
      </c>
      <c r="N40" s="11">
        <v>0</v>
      </c>
      <c r="O40" s="11">
        <v>6</v>
      </c>
      <c r="P40" s="11">
        <v>0</v>
      </c>
      <c r="Q40" s="11">
        <f>F40*P40</f>
        <v>0</v>
      </c>
    </row>
    <row r="41" ht="14.25" customHeight="1" spans="1:17">
      <c r="A41" s="12"/>
      <c r="B41" s="25"/>
      <c r="C41" s="11" t="s">
        <v>76</v>
      </c>
      <c r="D41" s="11"/>
      <c r="E41" s="11" t="s">
        <v>58</v>
      </c>
      <c r="F41" s="11"/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/>
      <c r="M41" s="11">
        <v>0</v>
      </c>
      <c r="N41" s="11">
        <v>0</v>
      </c>
      <c r="O41" s="11">
        <v>2</v>
      </c>
      <c r="P41" s="11">
        <v>0</v>
      </c>
      <c r="Q41" s="11">
        <v>0</v>
      </c>
    </row>
    <row r="42" ht="14.25" customHeight="1" spans="1:17">
      <c r="A42" s="3">
        <v>5</v>
      </c>
      <c r="B42" s="3" t="s">
        <v>77</v>
      </c>
      <c r="C42" s="11" t="s">
        <v>78</v>
      </c>
      <c r="D42" s="11" t="s">
        <v>79</v>
      </c>
      <c r="E42" s="11" t="s">
        <v>65</v>
      </c>
      <c r="F42" s="11">
        <v>170</v>
      </c>
      <c r="G42" s="11">
        <v>6</v>
      </c>
      <c r="H42" s="11">
        <v>0</v>
      </c>
      <c r="I42" s="11">
        <v>0</v>
      </c>
      <c r="J42" s="11">
        <f t="shared" ref="J42:J72" si="9">G42+H42-I42</f>
        <v>6</v>
      </c>
      <c r="K42" s="11">
        <f>F42*J42</f>
        <v>1020</v>
      </c>
      <c r="L42" s="11"/>
      <c r="M42" s="11">
        <v>0</v>
      </c>
      <c r="N42" s="11">
        <v>0</v>
      </c>
      <c r="O42" s="11"/>
      <c r="P42" s="11">
        <v>0</v>
      </c>
      <c r="Q42" s="11">
        <f>F42*P42</f>
        <v>0</v>
      </c>
    </row>
    <row r="43" ht="14.25" customHeight="1" spans="1:17">
      <c r="A43" s="6"/>
      <c r="B43" s="6"/>
      <c r="C43" s="11" t="s">
        <v>78</v>
      </c>
      <c r="D43" s="11" t="s">
        <v>79</v>
      </c>
      <c r="E43" s="11" t="s">
        <v>41</v>
      </c>
      <c r="F43" s="11">
        <v>300</v>
      </c>
      <c r="G43" s="11">
        <v>6</v>
      </c>
      <c r="H43" s="11">
        <v>0</v>
      </c>
      <c r="I43" s="11">
        <v>6</v>
      </c>
      <c r="J43" s="11">
        <f t="shared" si="9"/>
        <v>0</v>
      </c>
      <c r="K43" s="11">
        <f>F43*J43</f>
        <v>0</v>
      </c>
      <c r="L43" s="11"/>
      <c r="M43" s="11">
        <v>6</v>
      </c>
      <c r="N43" s="11">
        <v>0</v>
      </c>
      <c r="O43" s="11">
        <v>6</v>
      </c>
      <c r="P43" s="11">
        <v>0</v>
      </c>
      <c r="Q43" s="11">
        <f t="shared" ref="Q43:Q72" si="10">F43*P43</f>
        <v>0</v>
      </c>
    </row>
    <row r="44" ht="14.25" customHeight="1" spans="1:17">
      <c r="A44" s="6"/>
      <c r="B44" s="6"/>
      <c r="C44" s="11" t="s">
        <v>80</v>
      </c>
      <c r="D44" s="11" t="s">
        <v>79</v>
      </c>
      <c r="E44" s="11" t="s">
        <v>81</v>
      </c>
      <c r="F44" s="11">
        <v>130</v>
      </c>
      <c r="G44" s="11">
        <v>6</v>
      </c>
      <c r="H44" s="11">
        <v>0</v>
      </c>
      <c r="I44" s="11">
        <v>3</v>
      </c>
      <c r="J44" s="11">
        <f t="shared" si="9"/>
        <v>3</v>
      </c>
      <c r="K44" s="11">
        <f>F44*J44</f>
        <v>390</v>
      </c>
      <c r="L44" s="11"/>
      <c r="M44" s="11">
        <v>3</v>
      </c>
      <c r="N44" s="11">
        <v>0</v>
      </c>
      <c r="O44" s="11">
        <v>3</v>
      </c>
      <c r="P44" s="11">
        <v>0</v>
      </c>
      <c r="Q44" s="11">
        <f t="shared" si="10"/>
        <v>0</v>
      </c>
    </row>
    <row r="45" ht="14.25" customHeight="1" spans="1:17">
      <c r="A45" s="6"/>
      <c r="B45" s="6"/>
      <c r="C45" s="11" t="s">
        <v>80</v>
      </c>
      <c r="D45" s="11" t="s">
        <v>79</v>
      </c>
      <c r="E45" s="11" t="s">
        <v>82</v>
      </c>
      <c r="F45" s="11">
        <v>250</v>
      </c>
      <c r="G45" s="11">
        <v>7</v>
      </c>
      <c r="H45" s="11">
        <v>0</v>
      </c>
      <c r="I45" s="11">
        <v>7</v>
      </c>
      <c r="J45" s="11">
        <f t="shared" si="9"/>
        <v>0</v>
      </c>
      <c r="K45" s="11">
        <f>F45*J45</f>
        <v>0</v>
      </c>
      <c r="L45" s="11"/>
      <c r="M45" s="11">
        <v>7</v>
      </c>
      <c r="N45" s="11">
        <v>0</v>
      </c>
      <c r="O45" s="11">
        <v>7</v>
      </c>
      <c r="P45" s="11">
        <v>0</v>
      </c>
      <c r="Q45" s="11">
        <f t="shared" si="10"/>
        <v>0</v>
      </c>
    </row>
    <row r="46" ht="14.25" customHeight="1" spans="1:17">
      <c r="A46" s="6"/>
      <c r="B46" s="6"/>
      <c r="C46" s="11" t="s">
        <v>83</v>
      </c>
      <c r="D46" s="11" t="s">
        <v>84</v>
      </c>
      <c r="E46" s="11" t="s">
        <v>85</v>
      </c>
      <c r="F46" s="11">
        <v>150</v>
      </c>
      <c r="G46" s="11">
        <v>6</v>
      </c>
      <c r="H46" s="11">
        <v>0</v>
      </c>
      <c r="I46" s="11">
        <v>5</v>
      </c>
      <c r="J46" s="11">
        <f t="shared" si="9"/>
        <v>1</v>
      </c>
      <c r="K46" s="11">
        <f>F46*J46</f>
        <v>150</v>
      </c>
      <c r="L46" s="11"/>
      <c r="M46" s="11">
        <v>5</v>
      </c>
      <c r="N46" s="11">
        <v>0</v>
      </c>
      <c r="O46" s="11">
        <v>4</v>
      </c>
      <c r="P46" s="11">
        <v>1</v>
      </c>
      <c r="Q46" s="11">
        <f t="shared" si="10"/>
        <v>150</v>
      </c>
    </row>
    <row r="47" ht="14.25" customHeight="1" spans="1:17">
      <c r="A47" s="6"/>
      <c r="B47" s="6"/>
      <c r="C47" s="11" t="s">
        <v>86</v>
      </c>
      <c r="D47" s="11"/>
      <c r="E47" s="11" t="s">
        <v>33</v>
      </c>
      <c r="F47" s="11">
        <v>100</v>
      </c>
      <c r="G47" s="11">
        <v>3</v>
      </c>
      <c r="H47" s="11">
        <v>0</v>
      </c>
      <c r="I47" s="11">
        <v>2</v>
      </c>
      <c r="J47" s="11">
        <f t="shared" si="9"/>
        <v>1</v>
      </c>
      <c r="K47" s="11">
        <v>100</v>
      </c>
      <c r="L47" s="11"/>
      <c r="M47" s="11">
        <v>2</v>
      </c>
      <c r="N47" s="11">
        <v>0</v>
      </c>
      <c r="O47" s="11">
        <v>0</v>
      </c>
      <c r="P47" s="11">
        <v>2</v>
      </c>
      <c r="Q47" s="11">
        <f t="shared" si="10"/>
        <v>200</v>
      </c>
    </row>
    <row r="48" ht="14.25" customHeight="1" spans="1:17">
      <c r="A48" s="6"/>
      <c r="B48" s="6"/>
      <c r="C48" s="11" t="s">
        <v>86</v>
      </c>
      <c r="D48" s="11"/>
      <c r="E48" s="11" t="s">
        <v>82</v>
      </c>
      <c r="F48" s="11">
        <v>250</v>
      </c>
      <c r="G48" s="11">
        <v>0</v>
      </c>
      <c r="H48" s="11">
        <v>10</v>
      </c>
      <c r="I48" s="11">
        <v>9</v>
      </c>
      <c r="J48" s="11">
        <f t="shared" si="9"/>
        <v>1</v>
      </c>
      <c r="K48" s="11">
        <v>250</v>
      </c>
      <c r="L48" s="11"/>
      <c r="M48" s="11">
        <v>9</v>
      </c>
      <c r="N48" s="11">
        <v>0</v>
      </c>
      <c r="O48" s="11">
        <v>9</v>
      </c>
      <c r="P48" s="11">
        <v>0</v>
      </c>
      <c r="Q48" s="11">
        <f t="shared" si="10"/>
        <v>0</v>
      </c>
    </row>
    <row r="49" ht="14.25" customHeight="1" spans="1:17">
      <c r="A49" s="6"/>
      <c r="B49" s="6"/>
      <c r="C49" s="11" t="s">
        <v>87</v>
      </c>
      <c r="D49" s="11"/>
      <c r="E49" s="11" t="s">
        <v>49</v>
      </c>
      <c r="F49" s="11">
        <v>150</v>
      </c>
      <c r="G49" s="11">
        <v>0</v>
      </c>
      <c r="H49" s="11">
        <v>4</v>
      </c>
      <c r="I49" s="11">
        <v>4</v>
      </c>
      <c r="J49" s="11">
        <f t="shared" si="9"/>
        <v>0</v>
      </c>
      <c r="K49" s="11">
        <v>0</v>
      </c>
      <c r="L49" s="11"/>
      <c r="M49" s="11">
        <v>4</v>
      </c>
      <c r="N49" s="11">
        <v>0</v>
      </c>
      <c r="O49" s="11">
        <v>0</v>
      </c>
      <c r="P49" s="11">
        <v>4</v>
      </c>
      <c r="Q49" s="11">
        <f t="shared" si="10"/>
        <v>600</v>
      </c>
    </row>
    <row r="50" ht="14.25" customHeight="1" spans="1:17">
      <c r="A50" s="6"/>
      <c r="B50" s="6"/>
      <c r="C50" s="11" t="s">
        <v>88</v>
      </c>
      <c r="D50" s="11"/>
      <c r="E50" s="11" t="s">
        <v>82</v>
      </c>
      <c r="F50" s="11">
        <v>300</v>
      </c>
      <c r="G50" s="11">
        <v>0</v>
      </c>
      <c r="H50" s="11">
        <v>6</v>
      </c>
      <c r="I50" s="11">
        <v>6</v>
      </c>
      <c r="J50" s="11">
        <f t="shared" si="9"/>
        <v>0</v>
      </c>
      <c r="K50" s="11">
        <v>0</v>
      </c>
      <c r="L50" s="11"/>
      <c r="M50" s="11">
        <v>6</v>
      </c>
      <c r="N50" s="11">
        <v>0</v>
      </c>
      <c r="O50" s="11">
        <v>6</v>
      </c>
      <c r="P50" s="11">
        <v>0</v>
      </c>
      <c r="Q50" s="11">
        <f t="shared" si="10"/>
        <v>0</v>
      </c>
    </row>
    <row r="51" ht="14.25" customHeight="1" spans="1:17">
      <c r="A51" s="9"/>
      <c r="B51" s="9"/>
      <c r="C51" s="11" t="s">
        <v>89</v>
      </c>
      <c r="D51" s="11"/>
      <c r="E51" s="11" t="s">
        <v>90</v>
      </c>
      <c r="F51" s="11">
        <v>430</v>
      </c>
      <c r="G51" s="11">
        <v>0</v>
      </c>
      <c r="H51" s="11">
        <v>3</v>
      </c>
      <c r="I51" s="11">
        <v>3</v>
      </c>
      <c r="J51" s="11">
        <f t="shared" si="9"/>
        <v>0</v>
      </c>
      <c r="K51" s="11">
        <v>0</v>
      </c>
      <c r="L51" s="11"/>
      <c r="M51" s="11">
        <v>3</v>
      </c>
      <c r="N51" s="11">
        <v>0</v>
      </c>
      <c r="O51" s="11">
        <v>2</v>
      </c>
      <c r="P51" s="11">
        <v>1</v>
      </c>
      <c r="Q51" s="11">
        <f t="shared" si="10"/>
        <v>430</v>
      </c>
    </row>
    <row r="52" ht="14.25" customHeight="1" spans="1:17">
      <c r="A52" s="3">
        <v>6</v>
      </c>
      <c r="B52" s="3" t="s">
        <v>91</v>
      </c>
      <c r="C52" s="11" t="s">
        <v>92</v>
      </c>
      <c r="D52" s="11" t="s">
        <v>93</v>
      </c>
      <c r="E52" s="11" t="s">
        <v>94</v>
      </c>
      <c r="F52" s="11">
        <v>300</v>
      </c>
      <c r="G52" s="11">
        <v>12</v>
      </c>
      <c r="H52" s="11">
        <v>0</v>
      </c>
      <c r="I52" s="11">
        <v>6</v>
      </c>
      <c r="J52" s="11">
        <f t="shared" si="9"/>
        <v>6</v>
      </c>
      <c r="K52" s="11">
        <f t="shared" ref="K52:K72" si="11">F52*J52</f>
        <v>1800</v>
      </c>
      <c r="L52" s="11"/>
      <c r="M52" s="11">
        <v>6</v>
      </c>
      <c r="N52" s="11">
        <v>0</v>
      </c>
      <c r="O52" s="11">
        <v>1</v>
      </c>
      <c r="P52" s="11">
        <v>5</v>
      </c>
      <c r="Q52" s="11">
        <f t="shared" si="10"/>
        <v>1500</v>
      </c>
    </row>
    <row r="53" ht="14.25" customHeight="1" spans="1:17">
      <c r="A53" s="6"/>
      <c r="B53" s="6"/>
      <c r="C53" s="11" t="s">
        <v>95</v>
      </c>
      <c r="D53" s="11" t="s">
        <v>96</v>
      </c>
      <c r="E53" s="11" t="s">
        <v>94</v>
      </c>
      <c r="F53" s="11">
        <v>50</v>
      </c>
      <c r="G53" s="11">
        <v>20</v>
      </c>
      <c r="H53" s="11">
        <v>0</v>
      </c>
      <c r="I53" s="11">
        <v>8</v>
      </c>
      <c r="J53" s="11">
        <f t="shared" si="9"/>
        <v>12</v>
      </c>
      <c r="K53" s="11">
        <f t="shared" si="11"/>
        <v>600</v>
      </c>
      <c r="L53" s="11"/>
      <c r="M53" s="11">
        <v>8</v>
      </c>
      <c r="N53" s="11">
        <v>0</v>
      </c>
      <c r="O53" s="11"/>
      <c r="P53" s="11">
        <v>0</v>
      </c>
      <c r="Q53" s="11">
        <f t="shared" si="10"/>
        <v>0</v>
      </c>
    </row>
    <row r="54" ht="14.25" customHeight="1" spans="1:17">
      <c r="A54" s="6"/>
      <c r="B54" s="6"/>
      <c r="C54" s="11" t="s">
        <v>97</v>
      </c>
      <c r="D54" s="11" t="s">
        <v>98</v>
      </c>
      <c r="E54" s="11" t="s">
        <v>19</v>
      </c>
      <c r="F54" s="11">
        <v>350</v>
      </c>
      <c r="G54" s="11">
        <v>6</v>
      </c>
      <c r="H54" s="11">
        <v>0</v>
      </c>
      <c r="I54" s="11">
        <v>5</v>
      </c>
      <c r="J54" s="11">
        <f t="shared" si="9"/>
        <v>1</v>
      </c>
      <c r="K54" s="11">
        <f t="shared" si="11"/>
        <v>350</v>
      </c>
      <c r="L54" s="11"/>
      <c r="M54" s="11">
        <v>5</v>
      </c>
      <c r="N54" s="11">
        <v>0</v>
      </c>
      <c r="O54" s="11"/>
      <c r="P54" s="11">
        <v>0</v>
      </c>
      <c r="Q54" s="11">
        <f t="shared" si="10"/>
        <v>0</v>
      </c>
    </row>
    <row r="55" ht="14.25" customHeight="1" spans="1:17">
      <c r="A55" s="9"/>
      <c r="B55" s="9"/>
      <c r="C55" s="11" t="s">
        <v>99</v>
      </c>
      <c r="D55" s="11" t="s">
        <v>100</v>
      </c>
      <c r="E55" s="11" t="s">
        <v>94</v>
      </c>
      <c r="F55" s="11">
        <v>150</v>
      </c>
      <c r="G55" s="11">
        <v>2</v>
      </c>
      <c r="H55" s="11">
        <v>0</v>
      </c>
      <c r="I55" s="11">
        <v>0</v>
      </c>
      <c r="J55" s="11">
        <f t="shared" si="9"/>
        <v>2</v>
      </c>
      <c r="K55" s="11">
        <f t="shared" si="11"/>
        <v>300</v>
      </c>
      <c r="L55" s="11"/>
      <c r="M55" s="11">
        <v>0</v>
      </c>
      <c r="N55" s="11">
        <v>0</v>
      </c>
      <c r="O55" s="11"/>
      <c r="P55" s="11">
        <v>0</v>
      </c>
      <c r="Q55" s="11">
        <f t="shared" si="10"/>
        <v>0</v>
      </c>
    </row>
    <row r="56" ht="14.25" customHeight="1" spans="1:17">
      <c r="A56" s="3">
        <v>7</v>
      </c>
      <c r="B56" s="3" t="s">
        <v>101</v>
      </c>
      <c r="C56" s="11" t="s">
        <v>102</v>
      </c>
      <c r="D56" s="11" t="s">
        <v>103</v>
      </c>
      <c r="E56" s="11" t="s">
        <v>104</v>
      </c>
      <c r="F56" s="11">
        <v>100</v>
      </c>
      <c r="G56" s="11">
        <v>12</v>
      </c>
      <c r="H56" s="11">
        <v>0</v>
      </c>
      <c r="I56" s="11">
        <v>10</v>
      </c>
      <c r="J56" s="11">
        <f t="shared" si="9"/>
        <v>2</v>
      </c>
      <c r="K56" s="11">
        <f t="shared" si="11"/>
        <v>200</v>
      </c>
      <c r="L56" s="11"/>
      <c r="M56" s="11">
        <v>10</v>
      </c>
      <c r="N56" s="11">
        <v>0</v>
      </c>
      <c r="O56" s="11">
        <v>9</v>
      </c>
      <c r="P56" s="11">
        <v>1</v>
      </c>
      <c r="Q56" s="11">
        <f t="shared" si="10"/>
        <v>100</v>
      </c>
    </row>
    <row r="57" ht="14.25" customHeight="1" spans="1:17">
      <c r="A57" s="9"/>
      <c r="B57" s="9"/>
      <c r="C57" s="11" t="s">
        <v>105</v>
      </c>
      <c r="D57" s="11" t="s">
        <v>103</v>
      </c>
      <c r="E57" s="11" t="s">
        <v>82</v>
      </c>
      <c r="F57" s="11">
        <v>150</v>
      </c>
      <c r="G57" s="11">
        <v>12</v>
      </c>
      <c r="H57" s="11">
        <v>0</v>
      </c>
      <c r="I57" s="11">
        <v>10</v>
      </c>
      <c r="J57" s="11">
        <f t="shared" si="9"/>
        <v>2</v>
      </c>
      <c r="K57" s="11">
        <f t="shared" si="11"/>
        <v>300</v>
      </c>
      <c r="L57" s="11"/>
      <c r="M57" s="11">
        <v>10</v>
      </c>
      <c r="N57" s="11">
        <v>0</v>
      </c>
      <c r="O57" s="11">
        <v>10</v>
      </c>
      <c r="P57" s="11">
        <v>0</v>
      </c>
      <c r="Q57" s="11">
        <f t="shared" si="10"/>
        <v>0</v>
      </c>
    </row>
    <row r="58" ht="14.25" customHeight="1" spans="1:17">
      <c r="A58" s="3">
        <v>8</v>
      </c>
      <c r="B58" s="3" t="s">
        <v>106</v>
      </c>
      <c r="C58" s="11" t="s">
        <v>107</v>
      </c>
      <c r="D58" s="11"/>
      <c r="E58" s="11" t="s">
        <v>108</v>
      </c>
      <c r="F58" s="11">
        <v>350</v>
      </c>
      <c r="G58" s="11">
        <v>0</v>
      </c>
      <c r="H58" s="11">
        <v>5</v>
      </c>
      <c r="I58" s="11">
        <v>5</v>
      </c>
      <c r="J58" s="11">
        <f t="shared" si="9"/>
        <v>0</v>
      </c>
      <c r="K58" s="11">
        <f t="shared" si="11"/>
        <v>0</v>
      </c>
      <c r="L58" s="11"/>
      <c r="M58" s="11">
        <v>5</v>
      </c>
      <c r="N58" s="11">
        <v>0</v>
      </c>
      <c r="O58" s="11">
        <v>1</v>
      </c>
      <c r="P58" s="11">
        <v>4</v>
      </c>
      <c r="Q58" s="11">
        <f t="shared" si="10"/>
        <v>1400</v>
      </c>
    </row>
    <row r="59" ht="14.25" customHeight="1" spans="1:17">
      <c r="A59" s="6"/>
      <c r="B59" s="6"/>
      <c r="C59" s="11"/>
      <c r="D59" s="11"/>
      <c r="E59" s="11" t="s">
        <v>109</v>
      </c>
      <c r="F59" s="11">
        <v>430</v>
      </c>
      <c r="G59" s="11">
        <v>0</v>
      </c>
      <c r="H59" s="11">
        <v>5</v>
      </c>
      <c r="I59" s="11">
        <v>5</v>
      </c>
      <c r="J59" s="11">
        <f t="shared" si="9"/>
        <v>0</v>
      </c>
      <c r="K59" s="11">
        <f t="shared" si="11"/>
        <v>0</v>
      </c>
      <c r="L59" s="11"/>
      <c r="M59" s="11">
        <v>5</v>
      </c>
      <c r="N59" s="11">
        <v>0</v>
      </c>
      <c r="O59" s="11">
        <v>4</v>
      </c>
      <c r="P59" s="11">
        <v>1</v>
      </c>
      <c r="Q59" s="11">
        <f t="shared" si="10"/>
        <v>430</v>
      </c>
    </row>
    <row r="60" ht="14.25" customHeight="1" spans="1:17">
      <c r="A60" s="9"/>
      <c r="B60" s="9"/>
      <c r="C60" s="11"/>
      <c r="D60" s="11"/>
      <c r="E60" s="11" t="s">
        <v>110</v>
      </c>
      <c r="F60" s="11">
        <v>750</v>
      </c>
      <c r="G60" s="11">
        <v>0</v>
      </c>
      <c r="H60" s="11">
        <v>6</v>
      </c>
      <c r="I60" s="11">
        <v>6</v>
      </c>
      <c r="J60" s="11">
        <f t="shared" si="9"/>
        <v>0</v>
      </c>
      <c r="K60" s="11">
        <f t="shared" si="11"/>
        <v>0</v>
      </c>
      <c r="L60" s="11"/>
      <c r="M60" s="11">
        <v>6</v>
      </c>
      <c r="N60" s="11">
        <v>0</v>
      </c>
      <c r="O60" s="11">
        <v>6</v>
      </c>
      <c r="P60" s="11">
        <v>0</v>
      </c>
      <c r="Q60" s="11">
        <f t="shared" si="10"/>
        <v>0</v>
      </c>
    </row>
    <row r="61" ht="14.25" customHeight="1" spans="1:17">
      <c r="A61" s="3">
        <v>9</v>
      </c>
      <c r="B61" s="3" t="s">
        <v>111</v>
      </c>
      <c r="C61" s="11" t="s">
        <v>112</v>
      </c>
      <c r="D61" s="11" t="s">
        <v>113</v>
      </c>
      <c r="E61" s="11" t="s">
        <v>114</v>
      </c>
      <c r="F61" s="11">
        <v>4500</v>
      </c>
      <c r="G61" s="11">
        <v>7</v>
      </c>
      <c r="H61" s="11">
        <v>0</v>
      </c>
      <c r="I61" s="11">
        <v>5</v>
      </c>
      <c r="J61" s="11">
        <v>2</v>
      </c>
      <c r="K61" s="11">
        <f t="shared" si="11"/>
        <v>9000</v>
      </c>
      <c r="L61" s="11"/>
      <c r="M61" s="11">
        <v>2</v>
      </c>
      <c r="N61" s="11">
        <v>0</v>
      </c>
      <c r="O61" s="11">
        <v>0</v>
      </c>
      <c r="P61" s="11">
        <v>2</v>
      </c>
      <c r="Q61" s="11">
        <f t="shared" si="10"/>
        <v>9000</v>
      </c>
    </row>
    <row r="62" ht="14.25" customHeight="1" spans="1:17">
      <c r="A62" s="6"/>
      <c r="B62" s="6"/>
      <c r="C62" s="11" t="s">
        <v>115</v>
      </c>
      <c r="D62" s="11" t="s">
        <v>113</v>
      </c>
      <c r="E62" s="11" t="s">
        <v>114</v>
      </c>
      <c r="F62" s="11">
        <v>3300</v>
      </c>
      <c r="G62" s="11">
        <v>7</v>
      </c>
      <c r="H62" s="11">
        <v>0</v>
      </c>
      <c r="I62" s="11">
        <v>5</v>
      </c>
      <c r="J62" s="11">
        <f t="shared" si="9"/>
        <v>2</v>
      </c>
      <c r="K62" s="11">
        <f t="shared" si="11"/>
        <v>6600</v>
      </c>
      <c r="L62" s="11"/>
      <c r="M62" s="11">
        <v>2</v>
      </c>
      <c r="N62" s="11">
        <v>0</v>
      </c>
      <c r="O62" s="11">
        <v>0</v>
      </c>
      <c r="P62" s="11">
        <v>2</v>
      </c>
      <c r="Q62" s="11">
        <f t="shared" si="10"/>
        <v>6600</v>
      </c>
    </row>
    <row r="63" ht="14.25" customHeight="1" spans="1:17">
      <c r="A63" s="6"/>
      <c r="B63" s="6"/>
      <c r="C63" s="11" t="s">
        <v>116</v>
      </c>
      <c r="D63" s="11" t="s">
        <v>113</v>
      </c>
      <c r="E63" s="11" t="s">
        <v>114</v>
      </c>
      <c r="F63" s="11">
        <v>3400</v>
      </c>
      <c r="G63" s="11">
        <v>7</v>
      </c>
      <c r="H63" s="11">
        <v>0</v>
      </c>
      <c r="I63" s="11">
        <v>5</v>
      </c>
      <c r="J63" s="11">
        <f t="shared" si="9"/>
        <v>2</v>
      </c>
      <c r="K63" s="11">
        <f t="shared" si="11"/>
        <v>6800</v>
      </c>
      <c r="L63" s="11"/>
      <c r="M63" s="11">
        <v>2</v>
      </c>
      <c r="N63" s="11">
        <v>0</v>
      </c>
      <c r="O63" s="11">
        <v>0</v>
      </c>
      <c r="P63" s="11">
        <v>2</v>
      </c>
      <c r="Q63" s="11">
        <f t="shared" si="10"/>
        <v>6800</v>
      </c>
    </row>
    <row r="64" ht="14.25" customHeight="1" spans="1:17">
      <c r="A64" s="6"/>
      <c r="B64" s="6"/>
      <c r="C64" s="11" t="s">
        <v>117</v>
      </c>
      <c r="D64" s="11" t="s">
        <v>113</v>
      </c>
      <c r="E64" s="11" t="s">
        <v>114</v>
      </c>
      <c r="F64" s="11">
        <v>100</v>
      </c>
      <c r="G64" s="11">
        <v>5</v>
      </c>
      <c r="H64" s="11">
        <v>0</v>
      </c>
      <c r="I64" s="11"/>
      <c r="J64" s="11">
        <f t="shared" si="9"/>
        <v>5</v>
      </c>
      <c r="K64" s="11">
        <f t="shared" si="11"/>
        <v>500</v>
      </c>
      <c r="L64" s="11"/>
      <c r="M64" s="11"/>
      <c r="N64" s="11">
        <v>0</v>
      </c>
      <c r="O64" s="11"/>
      <c r="P64" s="11"/>
      <c r="Q64" s="11">
        <f t="shared" si="10"/>
        <v>0</v>
      </c>
    </row>
    <row r="65" ht="14.25" customHeight="1" spans="1:17">
      <c r="A65" s="6"/>
      <c r="B65" s="6"/>
      <c r="C65" s="11" t="s">
        <v>118</v>
      </c>
      <c r="D65" s="11" t="s">
        <v>113</v>
      </c>
      <c r="E65" s="11" t="s">
        <v>114</v>
      </c>
      <c r="F65" s="11">
        <v>3000</v>
      </c>
      <c r="G65" s="11">
        <v>12</v>
      </c>
      <c r="H65" s="11">
        <v>0</v>
      </c>
      <c r="I65" s="11">
        <v>12</v>
      </c>
      <c r="J65" s="11">
        <f t="shared" si="9"/>
        <v>0</v>
      </c>
      <c r="K65" s="11">
        <f t="shared" si="11"/>
        <v>0</v>
      </c>
      <c r="L65" s="11"/>
      <c r="M65" s="11"/>
      <c r="N65" s="11">
        <v>0</v>
      </c>
      <c r="O65" s="11"/>
      <c r="P65" s="11"/>
      <c r="Q65" s="11">
        <f t="shared" si="10"/>
        <v>0</v>
      </c>
    </row>
    <row r="66" ht="14.25" customHeight="1" spans="1:17">
      <c r="A66" s="6"/>
      <c r="B66" s="6"/>
      <c r="C66" s="11" t="s">
        <v>119</v>
      </c>
      <c r="D66" s="11" t="s">
        <v>120</v>
      </c>
      <c r="E66" s="11" t="s">
        <v>121</v>
      </c>
      <c r="F66" s="11">
        <v>2700</v>
      </c>
      <c r="G66" s="11">
        <v>2</v>
      </c>
      <c r="H66" s="11"/>
      <c r="I66" s="11"/>
      <c r="J66" s="11">
        <f t="shared" si="9"/>
        <v>2</v>
      </c>
      <c r="K66" s="11">
        <f t="shared" si="11"/>
        <v>5400</v>
      </c>
      <c r="L66" s="11"/>
      <c r="M66" s="11"/>
      <c r="N66" s="11">
        <v>0</v>
      </c>
      <c r="O66" s="11"/>
      <c r="P66" s="11"/>
      <c r="Q66" s="11">
        <f t="shared" si="10"/>
        <v>0</v>
      </c>
    </row>
    <row r="67" ht="14.25" customHeight="1" spans="1:17">
      <c r="A67" s="6"/>
      <c r="B67" s="6"/>
      <c r="C67" s="11" t="s">
        <v>122</v>
      </c>
      <c r="D67" s="11" t="s">
        <v>120</v>
      </c>
      <c r="E67" s="11" t="s">
        <v>121</v>
      </c>
      <c r="F67" s="11">
        <v>3000</v>
      </c>
      <c r="G67" s="11">
        <v>2</v>
      </c>
      <c r="H67" s="11"/>
      <c r="I67" s="11"/>
      <c r="J67" s="11">
        <f t="shared" si="9"/>
        <v>2</v>
      </c>
      <c r="K67" s="11">
        <f t="shared" si="11"/>
        <v>6000</v>
      </c>
      <c r="L67" s="11"/>
      <c r="M67" s="11"/>
      <c r="N67" s="11">
        <v>0</v>
      </c>
      <c r="O67" s="11"/>
      <c r="P67" s="11"/>
      <c r="Q67" s="11">
        <f t="shared" si="10"/>
        <v>0</v>
      </c>
    </row>
    <row r="68" ht="14.25" customHeight="1" spans="1:17">
      <c r="A68" s="6"/>
      <c r="B68" s="6"/>
      <c r="C68" s="11" t="s">
        <v>123</v>
      </c>
      <c r="D68" s="11" t="s">
        <v>120</v>
      </c>
      <c r="E68" s="11" t="s">
        <v>124</v>
      </c>
      <c r="F68" s="11">
        <v>3400</v>
      </c>
      <c r="G68" s="11">
        <v>4</v>
      </c>
      <c r="H68" s="11">
        <v>0</v>
      </c>
      <c r="I68" s="11">
        <v>2</v>
      </c>
      <c r="J68" s="11">
        <f t="shared" si="9"/>
        <v>2</v>
      </c>
      <c r="K68" s="11">
        <f t="shared" si="11"/>
        <v>6800</v>
      </c>
      <c r="L68" s="11"/>
      <c r="M68" s="11"/>
      <c r="N68" s="11">
        <v>0</v>
      </c>
      <c r="O68" s="11"/>
      <c r="P68" s="11"/>
      <c r="Q68" s="11">
        <f t="shared" si="10"/>
        <v>0</v>
      </c>
    </row>
    <row r="69" ht="14.25" customHeight="1" spans="1:17">
      <c r="A69" s="9"/>
      <c r="B69" s="9"/>
      <c r="C69" s="11" t="s">
        <v>115</v>
      </c>
      <c r="D69" s="11" t="s">
        <v>120</v>
      </c>
      <c r="E69" s="11" t="s">
        <v>114</v>
      </c>
      <c r="F69" s="11">
        <v>3300</v>
      </c>
      <c r="G69" s="11">
        <v>7</v>
      </c>
      <c r="H69" s="11">
        <v>0</v>
      </c>
      <c r="I69" s="11">
        <v>5</v>
      </c>
      <c r="J69" s="11">
        <v>2</v>
      </c>
      <c r="K69" s="11">
        <f t="shared" si="11"/>
        <v>6600</v>
      </c>
      <c r="L69" s="11"/>
      <c r="M69" s="11"/>
      <c r="N69" s="11">
        <v>0</v>
      </c>
      <c r="O69" s="11"/>
      <c r="P69" s="11"/>
      <c r="Q69" s="11">
        <f t="shared" si="10"/>
        <v>0</v>
      </c>
    </row>
    <row r="70" ht="14.25" customHeight="1" spans="1:17">
      <c r="A70" s="3">
        <v>10</v>
      </c>
      <c r="B70" s="3" t="s">
        <v>125</v>
      </c>
      <c r="C70" s="11" t="s">
        <v>126</v>
      </c>
      <c r="D70" s="11"/>
      <c r="E70" s="11" t="s">
        <v>127</v>
      </c>
      <c r="F70" s="11">
        <v>200</v>
      </c>
      <c r="G70" s="11">
        <v>1</v>
      </c>
      <c r="H70" s="11"/>
      <c r="I70" s="11"/>
      <c r="J70" s="11">
        <f t="shared" si="9"/>
        <v>1</v>
      </c>
      <c r="K70" s="11">
        <f t="shared" si="11"/>
        <v>200</v>
      </c>
      <c r="L70" s="11"/>
      <c r="M70" s="11"/>
      <c r="N70" s="11">
        <v>2</v>
      </c>
      <c r="O70" s="11"/>
      <c r="P70" s="11"/>
      <c r="Q70" s="11">
        <f t="shared" si="10"/>
        <v>0</v>
      </c>
    </row>
    <row r="71" ht="14.25" customHeight="1" spans="1:17">
      <c r="A71" s="6"/>
      <c r="B71" s="6"/>
      <c r="C71" s="11" t="s">
        <v>128</v>
      </c>
      <c r="D71" s="11"/>
      <c r="E71" s="11" t="s">
        <v>129</v>
      </c>
      <c r="F71" s="11">
        <v>200</v>
      </c>
      <c r="G71" s="11">
        <v>1</v>
      </c>
      <c r="H71" s="11"/>
      <c r="I71" s="11"/>
      <c r="J71" s="11">
        <f t="shared" si="9"/>
        <v>1</v>
      </c>
      <c r="K71" s="11">
        <f t="shared" si="11"/>
        <v>200</v>
      </c>
      <c r="L71" s="11"/>
      <c r="M71" s="11"/>
      <c r="N71" s="11">
        <v>0</v>
      </c>
      <c r="O71" s="11"/>
      <c r="P71" s="11"/>
      <c r="Q71" s="11">
        <f t="shared" si="10"/>
        <v>0</v>
      </c>
    </row>
    <row r="72" ht="14.25" customHeight="1" spans="1:17">
      <c r="A72" s="9"/>
      <c r="B72" s="9"/>
      <c r="C72" s="11" t="s">
        <v>130</v>
      </c>
      <c r="D72" s="11"/>
      <c r="E72" s="11" t="s">
        <v>121</v>
      </c>
      <c r="F72" s="11">
        <v>200</v>
      </c>
      <c r="G72" s="11">
        <v>1</v>
      </c>
      <c r="H72" s="11"/>
      <c r="I72" s="11"/>
      <c r="J72" s="11">
        <f t="shared" si="9"/>
        <v>1</v>
      </c>
      <c r="K72" s="11">
        <f t="shared" si="11"/>
        <v>200</v>
      </c>
      <c r="L72" s="11"/>
      <c r="M72" s="11"/>
      <c r="N72" s="11">
        <v>2</v>
      </c>
      <c r="O72" s="11"/>
      <c r="P72" s="11"/>
      <c r="Q72" s="11">
        <f t="shared" si="10"/>
        <v>0</v>
      </c>
    </row>
    <row r="73" ht="14.25" customHeight="1" spans="1:17">
      <c r="A73" s="12"/>
      <c r="B73" s="12"/>
      <c r="C73" s="11" t="s">
        <v>131</v>
      </c>
      <c r="D73" s="11"/>
      <c r="E73" s="11" t="s">
        <v>132</v>
      </c>
      <c r="F73" s="11"/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/>
      <c r="M73" s="11">
        <v>0</v>
      </c>
      <c r="N73" s="11">
        <v>2</v>
      </c>
      <c r="O73" s="11">
        <v>2</v>
      </c>
      <c r="P73" s="11">
        <v>0</v>
      </c>
      <c r="Q73" s="11">
        <v>0</v>
      </c>
    </row>
    <row r="74" ht="14.25" customHeight="1" spans="1:17">
      <c r="A74" s="3">
        <v>11</v>
      </c>
      <c r="B74" s="3" t="s">
        <v>133</v>
      </c>
      <c r="C74" s="11" t="s">
        <v>134</v>
      </c>
      <c r="D74" s="11"/>
      <c r="E74" s="11" t="s">
        <v>135</v>
      </c>
      <c r="F74" s="11">
        <v>900</v>
      </c>
      <c r="G74" s="11">
        <v>3</v>
      </c>
      <c r="H74" s="11">
        <v>0</v>
      </c>
      <c r="I74" s="11">
        <v>0</v>
      </c>
      <c r="J74" s="11">
        <f t="shared" ref="J74:J79" si="12">G74+H74-I74</f>
        <v>3</v>
      </c>
      <c r="K74" s="11">
        <f t="shared" ref="K74:K80" si="13">F74*J74</f>
        <v>2700</v>
      </c>
      <c r="L74" s="11"/>
      <c r="M74" s="11"/>
      <c r="N74" s="11">
        <v>0</v>
      </c>
      <c r="O74" s="11"/>
      <c r="P74" s="11"/>
      <c r="Q74" s="11">
        <f t="shared" ref="Q74:Q83" si="14">F74*P74</f>
        <v>0</v>
      </c>
    </row>
    <row r="75" ht="14.25" customHeight="1" spans="1:17">
      <c r="A75" s="9"/>
      <c r="B75" s="9"/>
      <c r="C75" s="11" t="s">
        <v>136</v>
      </c>
      <c r="D75" s="11"/>
      <c r="E75" s="11" t="s">
        <v>137</v>
      </c>
      <c r="F75" s="11">
        <v>900</v>
      </c>
      <c r="G75" s="11">
        <v>1</v>
      </c>
      <c r="H75" s="11">
        <v>0</v>
      </c>
      <c r="I75" s="11">
        <v>0</v>
      </c>
      <c r="J75" s="11">
        <f t="shared" si="12"/>
        <v>1</v>
      </c>
      <c r="K75" s="11">
        <f t="shared" si="13"/>
        <v>900</v>
      </c>
      <c r="L75" s="11"/>
      <c r="M75" s="11"/>
      <c r="N75" s="11">
        <v>0</v>
      </c>
      <c r="O75" s="11"/>
      <c r="P75" s="11"/>
      <c r="Q75" s="11">
        <f t="shared" si="14"/>
        <v>0</v>
      </c>
    </row>
    <row r="76" ht="14.25" customHeight="1" spans="1:17">
      <c r="A76" s="3">
        <v>12</v>
      </c>
      <c r="B76" s="3" t="s">
        <v>138</v>
      </c>
      <c r="C76" s="11" t="s">
        <v>139</v>
      </c>
      <c r="D76" s="11"/>
      <c r="E76" s="11" t="s">
        <v>140</v>
      </c>
      <c r="F76" s="11">
        <v>190</v>
      </c>
      <c r="G76" s="11">
        <v>2</v>
      </c>
      <c r="H76" s="11"/>
      <c r="I76" s="11"/>
      <c r="J76" s="11">
        <f t="shared" si="12"/>
        <v>2</v>
      </c>
      <c r="K76" s="11">
        <f t="shared" si="13"/>
        <v>380</v>
      </c>
      <c r="L76" s="11"/>
      <c r="M76" s="11"/>
      <c r="N76" s="11">
        <v>0</v>
      </c>
      <c r="O76" s="11"/>
      <c r="P76" s="11"/>
      <c r="Q76" s="11">
        <f t="shared" si="14"/>
        <v>0</v>
      </c>
    </row>
    <row r="77" ht="14.25" customHeight="1" spans="1:17">
      <c r="A77" s="6"/>
      <c r="B77" s="6"/>
      <c r="C77" s="11" t="s">
        <v>141</v>
      </c>
      <c r="D77" s="11"/>
      <c r="E77" s="11" t="s">
        <v>142</v>
      </c>
      <c r="F77" s="11">
        <v>140</v>
      </c>
      <c r="G77" s="11"/>
      <c r="H77" s="11"/>
      <c r="I77" s="11"/>
      <c r="J77" s="11">
        <f t="shared" si="12"/>
        <v>0</v>
      </c>
      <c r="K77" s="11">
        <f t="shared" si="13"/>
        <v>0</v>
      </c>
      <c r="L77" s="11"/>
      <c r="M77" s="11"/>
      <c r="N77" s="11">
        <v>0</v>
      </c>
      <c r="O77" s="11"/>
      <c r="P77" s="11"/>
      <c r="Q77" s="11">
        <f t="shared" si="14"/>
        <v>0</v>
      </c>
    </row>
    <row r="78" ht="14.25" customHeight="1" spans="1:17">
      <c r="A78" s="9"/>
      <c r="B78" s="9"/>
      <c r="C78" s="11" t="s">
        <v>143</v>
      </c>
      <c r="D78" s="11"/>
      <c r="E78" s="11" t="s">
        <v>144</v>
      </c>
      <c r="F78" s="11">
        <v>160</v>
      </c>
      <c r="G78" s="11"/>
      <c r="H78" s="11"/>
      <c r="I78" s="11"/>
      <c r="J78" s="11">
        <f t="shared" si="12"/>
        <v>0</v>
      </c>
      <c r="K78" s="11">
        <f t="shared" si="13"/>
        <v>0</v>
      </c>
      <c r="L78" s="11"/>
      <c r="M78" s="11"/>
      <c r="N78" s="11">
        <v>0</v>
      </c>
      <c r="O78" s="11"/>
      <c r="P78" s="11"/>
      <c r="Q78" s="11">
        <f t="shared" si="14"/>
        <v>0</v>
      </c>
    </row>
    <row r="79" ht="14.25" customHeight="1" spans="1:17">
      <c r="A79" s="3">
        <v>13</v>
      </c>
      <c r="B79" s="3" t="s">
        <v>145</v>
      </c>
      <c r="C79" s="11"/>
      <c r="D79" s="11"/>
      <c r="E79" s="11" t="s">
        <v>108</v>
      </c>
      <c r="F79" s="11">
        <v>350</v>
      </c>
      <c r="G79" s="11">
        <v>6</v>
      </c>
      <c r="H79" s="11"/>
      <c r="I79" s="11"/>
      <c r="J79" s="11">
        <f t="shared" si="12"/>
        <v>6</v>
      </c>
      <c r="K79" s="11">
        <f t="shared" si="13"/>
        <v>2100</v>
      </c>
      <c r="L79" s="11"/>
      <c r="M79" s="11"/>
      <c r="N79" s="11">
        <v>0</v>
      </c>
      <c r="O79" s="11"/>
      <c r="P79" s="11">
        <v>0</v>
      </c>
      <c r="Q79" s="11">
        <f t="shared" si="14"/>
        <v>0</v>
      </c>
    </row>
    <row r="80" ht="14.25" customHeight="1" spans="1:17">
      <c r="A80" s="6"/>
      <c r="B80" s="6"/>
      <c r="C80" s="11"/>
      <c r="D80" s="11"/>
      <c r="E80" s="11" t="s">
        <v>109</v>
      </c>
      <c r="F80" s="11">
        <v>430</v>
      </c>
      <c r="G80" s="11">
        <v>6</v>
      </c>
      <c r="H80" s="11">
        <v>0</v>
      </c>
      <c r="I80" s="11">
        <v>6</v>
      </c>
      <c r="J80" s="11">
        <v>0</v>
      </c>
      <c r="K80" s="11">
        <f t="shared" si="13"/>
        <v>0</v>
      </c>
      <c r="L80" s="11"/>
      <c r="M80" s="11"/>
      <c r="N80" s="11">
        <v>0</v>
      </c>
      <c r="O80" s="11"/>
      <c r="P80" s="11">
        <v>0</v>
      </c>
      <c r="Q80" s="11">
        <f t="shared" si="14"/>
        <v>0</v>
      </c>
    </row>
    <row r="81" ht="14.25" customHeight="1" spans="1:17">
      <c r="A81" s="9"/>
      <c r="B81" s="9"/>
      <c r="C81" s="11"/>
      <c r="D81" s="11"/>
      <c r="E81" s="11" t="s">
        <v>146</v>
      </c>
      <c r="F81" s="11">
        <v>750</v>
      </c>
      <c r="G81" s="11">
        <v>0</v>
      </c>
      <c r="H81" s="11">
        <v>6</v>
      </c>
      <c r="I81" s="11">
        <v>6</v>
      </c>
      <c r="J81" s="11"/>
      <c r="K81" s="11"/>
      <c r="L81" s="11"/>
      <c r="M81" s="11"/>
      <c r="N81" s="11">
        <v>0</v>
      </c>
      <c r="O81" s="11"/>
      <c r="P81" s="11">
        <v>1</v>
      </c>
      <c r="Q81" s="11">
        <f t="shared" si="14"/>
        <v>750</v>
      </c>
    </row>
    <row r="82" ht="14.25" customHeight="1" spans="1:17">
      <c r="A82" s="3">
        <v>14</v>
      </c>
      <c r="B82" s="3" t="s">
        <v>147</v>
      </c>
      <c r="C82" s="11" t="s">
        <v>148</v>
      </c>
      <c r="D82" s="11"/>
      <c r="E82" s="11" t="s">
        <v>121</v>
      </c>
      <c r="F82" s="11">
        <v>300</v>
      </c>
      <c r="G82" s="11">
        <v>0</v>
      </c>
      <c r="H82" s="11">
        <v>2</v>
      </c>
      <c r="I82" s="11"/>
      <c r="J82" s="11">
        <v>0</v>
      </c>
      <c r="K82" s="11">
        <f t="shared" ref="K82:K83" si="15">F82*J82</f>
        <v>0</v>
      </c>
      <c r="L82" s="11"/>
      <c r="M82" s="11"/>
      <c r="N82" s="11">
        <v>0</v>
      </c>
      <c r="O82" s="11"/>
      <c r="P82" s="11"/>
      <c r="Q82" s="11">
        <f t="shared" si="14"/>
        <v>0</v>
      </c>
    </row>
    <row r="83" ht="14.25" customHeight="1" spans="1:17">
      <c r="A83" s="9"/>
      <c r="B83" s="9"/>
      <c r="C83" s="11" t="s">
        <v>149</v>
      </c>
      <c r="D83" s="11"/>
      <c r="E83" s="11" t="s">
        <v>121</v>
      </c>
      <c r="F83" s="11">
        <v>380</v>
      </c>
      <c r="G83" s="11">
        <v>0</v>
      </c>
      <c r="H83" s="11">
        <v>2</v>
      </c>
      <c r="I83" s="11"/>
      <c r="J83" s="11">
        <v>0</v>
      </c>
      <c r="K83" s="11">
        <f t="shared" si="15"/>
        <v>0</v>
      </c>
      <c r="L83" s="11"/>
      <c r="M83" s="11"/>
      <c r="N83" s="11">
        <v>0</v>
      </c>
      <c r="O83" s="11"/>
      <c r="P83" s="11"/>
      <c r="Q83" s="11">
        <f t="shared" si="14"/>
        <v>0</v>
      </c>
    </row>
    <row r="84" ht="14.25" customHeight="1" spans="1:17">
      <c r="A84" s="14" t="s">
        <v>150</v>
      </c>
      <c r="B84" s="11"/>
      <c r="C84" s="11"/>
      <c r="D84" s="11"/>
      <c r="E84" s="26" t="s">
        <v>151</v>
      </c>
      <c r="F84" s="11"/>
      <c r="G84" s="11"/>
      <c r="H84" s="11"/>
      <c r="I84" s="11"/>
      <c r="J84" s="11"/>
      <c r="K84" s="14">
        <f>SUM(K6:K83)</f>
        <v>82120</v>
      </c>
      <c r="L84" s="11"/>
      <c r="M84" s="11"/>
      <c r="N84" s="11"/>
      <c r="O84" s="11"/>
      <c r="P84" s="11"/>
      <c r="Q84" s="15">
        <f>SUM(Q6:Q83)</f>
        <v>114420</v>
      </c>
    </row>
    <row r="85" ht="14.25" customHeight="1" spans="1:17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ht="14.25" customHeight="1" spans="1:17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ht="14.25" customHeight="1" spans="1:1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ht="14.25" customHeight="1" spans="1:17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 ht="14.25" customHeight="1" spans="1:17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ht="14.25" customHeight="1" spans="1:17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 ht="14.25" customHeight="1" spans="1:17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ht="14.25" customHeight="1" spans="1:17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 ht="14.25" customHeight="1" spans="1:17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ht="14.25" customHeight="1" spans="1:17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</row>
    <row r="95" ht="14.25" customHeight="1" spans="1:17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 ht="14.25" customHeight="1" spans="1:17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 ht="14.25" customHeight="1" spans="1:1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</row>
    <row r="98" ht="14.25" customHeight="1" spans="1:17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ht="14.25" customHeight="1" spans="1:17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 ht="14.25" customHeight="1" spans="1:17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  <row r="101" ht="14.25" customHeight="1" spans="1:17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ht="14.25" customHeight="1" spans="1:17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</row>
    <row r="103" ht="14.25" customHeight="1" spans="1:17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 ht="14.25" customHeight="1" spans="1:17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 ht="14.25" customHeight="1" spans="1:17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</row>
  </sheetData>
  <mergeCells count="49">
    <mergeCell ref="A4:A5"/>
    <mergeCell ref="A6:A15"/>
    <mergeCell ref="A16:A23"/>
    <mergeCell ref="A24:A39"/>
    <mergeCell ref="A40:A41"/>
    <mergeCell ref="A42:A51"/>
    <mergeCell ref="A52:A55"/>
    <mergeCell ref="A56:A57"/>
    <mergeCell ref="A58:A60"/>
    <mergeCell ref="A61:A69"/>
    <mergeCell ref="A70:A72"/>
    <mergeCell ref="A74:A75"/>
    <mergeCell ref="A76:A78"/>
    <mergeCell ref="A79:A81"/>
    <mergeCell ref="A82:A83"/>
    <mergeCell ref="B4:B5"/>
    <mergeCell ref="B6:B15"/>
    <mergeCell ref="B16:B23"/>
    <mergeCell ref="B24:B39"/>
    <mergeCell ref="B42:B51"/>
    <mergeCell ref="B52:B55"/>
    <mergeCell ref="B56:B57"/>
    <mergeCell ref="B58:B60"/>
    <mergeCell ref="B61:B69"/>
    <mergeCell ref="B70:B72"/>
    <mergeCell ref="B74:B75"/>
    <mergeCell ref="B76:B78"/>
    <mergeCell ref="B79:B81"/>
    <mergeCell ref="B82:B83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M1:M3"/>
    <mergeCell ref="M4:M5"/>
    <mergeCell ref="N1:N3"/>
    <mergeCell ref="N4:N5"/>
    <mergeCell ref="O1:O3"/>
    <mergeCell ref="O4:O5"/>
    <mergeCell ref="P1:P3"/>
    <mergeCell ref="P4:P5"/>
    <mergeCell ref="Q1:Q3"/>
    <mergeCell ref="Q4:Q5"/>
    <mergeCell ref="A1:K3"/>
  </mergeCells>
  <pageMargins left="0.7" right="0.7" top="0.75" bottom="0.75" header="0" footer="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6"/>
  <sheetViews>
    <sheetView zoomScale="70" zoomScaleNormal="70" topLeftCell="F45" workbookViewId="0">
      <selection activeCell="F22" sqref="F22"/>
    </sheetView>
  </sheetViews>
  <sheetFormatPr defaultColWidth="8.75" defaultRowHeight="13.8"/>
  <cols>
    <col min="1" max="1" width="14.125" customWidth="1"/>
    <col min="2" max="2" width="21" customWidth="1"/>
    <col min="3" max="3" width="24.75" customWidth="1"/>
    <col min="4" max="5" width="9.125" customWidth="1"/>
    <col min="6" max="6" width="41.125" customWidth="1"/>
    <col min="7" max="7" width="16.125" customWidth="1"/>
    <col min="8" max="9" width="35.125" customWidth="1"/>
    <col min="10" max="10" width="17.25" customWidth="1"/>
    <col min="11" max="11" width="9.125" customWidth="1"/>
    <col min="12" max="12" width="31.125" customWidth="1"/>
    <col min="13" max="13" width="22.625" customWidth="1"/>
    <col min="14" max="14" width="32.125" customWidth="1"/>
    <col min="15" max="15" width="16.625" customWidth="1"/>
    <col min="16" max="16" width="19.875" customWidth="1"/>
  </cols>
  <sheetData>
    <row r="1" ht="14.45" customHeight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  <c r="N1" s="3"/>
      <c r="O1" s="3"/>
      <c r="P1" s="3"/>
    </row>
    <row r="2" ht="14.45" customHeight="1" spans="1:1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6"/>
      <c r="N2" s="6"/>
      <c r="O2" s="6"/>
      <c r="P2" s="6"/>
    </row>
    <row r="3" ht="14.45" customHeight="1" spans="1:16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8"/>
      <c r="M3" s="9"/>
      <c r="N3" s="9"/>
      <c r="O3" s="9"/>
      <c r="P3" s="9"/>
    </row>
    <row r="4" ht="14.4" spans="1:16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152</v>
      </c>
      <c r="G4" s="10" t="s">
        <v>8</v>
      </c>
      <c r="H4" s="10" t="s">
        <v>153</v>
      </c>
      <c r="I4" s="10" t="s">
        <v>10</v>
      </c>
      <c r="J4" s="10" t="s">
        <v>11</v>
      </c>
      <c r="K4" s="11"/>
      <c r="L4" s="10" t="s">
        <v>154</v>
      </c>
      <c r="M4" s="10" t="s">
        <v>8</v>
      </c>
      <c r="N4" s="10" t="s">
        <v>155</v>
      </c>
      <c r="O4" s="10" t="s">
        <v>14</v>
      </c>
      <c r="P4" s="10" t="s">
        <v>15</v>
      </c>
    </row>
    <row r="5" ht="14.4" spans="1:16">
      <c r="A5" s="9"/>
      <c r="B5" s="9"/>
      <c r="C5" s="9"/>
      <c r="D5" s="9"/>
      <c r="E5" s="9"/>
      <c r="F5" s="9"/>
      <c r="G5" s="9"/>
      <c r="H5" s="9"/>
      <c r="I5" s="9"/>
      <c r="J5" s="9"/>
      <c r="K5" s="11"/>
      <c r="L5" s="9"/>
      <c r="M5" s="9"/>
      <c r="N5" s="9"/>
      <c r="O5" s="9"/>
      <c r="P5" s="9"/>
    </row>
    <row r="6" ht="14.4" spans="1:16">
      <c r="A6" s="3" t="s">
        <v>16</v>
      </c>
      <c r="B6" s="11" t="s">
        <v>17</v>
      </c>
      <c r="C6" s="11" t="s">
        <v>18</v>
      </c>
      <c r="D6" s="11" t="s">
        <v>19</v>
      </c>
      <c r="E6" s="11">
        <v>700</v>
      </c>
      <c r="F6" s="11">
        <v>2</v>
      </c>
      <c r="G6" s="11">
        <v>0</v>
      </c>
      <c r="H6" s="11">
        <v>0</v>
      </c>
      <c r="I6" s="11">
        <v>2</v>
      </c>
      <c r="J6" s="11">
        <f>E6*I6</f>
        <v>1400</v>
      </c>
      <c r="K6" s="11"/>
      <c r="L6" s="11">
        <v>0</v>
      </c>
      <c r="M6" s="11">
        <v>0</v>
      </c>
      <c r="N6" s="11">
        <v>0</v>
      </c>
      <c r="O6" s="11">
        <v>0</v>
      </c>
      <c r="P6" s="11">
        <f>(E6*O6)</f>
        <v>0</v>
      </c>
    </row>
    <row r="7" ht="14.4" spans="1:16">
      <c r="A7" s="12"/>
      <c r="B7" s="11" t="s">
        <v>20</v>
      </c>
      <c r="C7" s="11" t="s">
        <v>21</v>
      </c>
      <c r="D7" s="11" t="s">
        <v>19</v>
      </c>
      <c r="E7" s="11">
        <v>950</v>
      </c>
      <c r="F7" s="11">
        <v>1</v>
      </c>
      <c r="G7" s="11">
        <v>0</v>
      </c>
      <c r="H7" s="11">
        <v>0</v>
      </c>
      <c r="I7" s="11">
        <v>1</v>
      </c>
      <c r="J7" s="11">
        <f t="shared" ref="J7:J64" si="0">E7*I7</f>
        <v>950</v>
      </c>
      <c r="K7" s="11"/>
      <c r="L7" s="11">
        <v>0</v>
      </c>
      <c r="M7" s="11">
        <v>4</v>
      </c>
      <c r="N7" s="11">
        <v>4</v>
      </c>
      <c r="O7" s="11">
        <v>0</v>
      </c>
      <c r="P7" s="11">
        <f t="shared" ref="P7:P64" si="1">(E7*O7)</f>
        <v>0</v>
      </c>
    </row>
    <row r="8" ht="14.4" spans="1:16">
      <c r="A8" s="12"/>
      <c r="B8" s="11" t="s">
        <v>22</v>
      </c>
      <c r="C8" s="11" t="s">
        <v>21</v>
      </c>
      <c r="D8" s="11" t="s">
        <v>19</v>
      </c>
      <c r="E8" s="11">
        <v>850</v>
      </c>
      <c r="F8" s="11">
        <v>9</v>
      </c>
      <c r="G8" s="11">
        <v>0</v>
      </c>
      <c r="H8" s="11">
        <v>0</v>
      </c>
      <c r="I8" s="11">
        <v>9</v>
      </c>
      <c r="J8" s="11">
        <f t="shared" si="0"/>
        <v>7650</v>
      </c>
      <c r="K8" s="11"/>
      <c r="L8" s="11">
        <v>0</v>
      </c>
      <c r="M8" s="11">
        <v>4</v>
      </c>
      <c r="N8" s="11">
        <v>0</v>
      </c>
      <c r="O8" s="11">
        <v>4</v>
      </c>
      <c r="P8" s="11">
        <f t="shared" si="1"/>
        <v>3400</v>
      </c>
    </row>
    <row r="9" ht="14.4" spans="1:16">
      <c r="A9" s="12"/>
      <c r="B9" s="11" t="s">
        <v>23</v>
      </c>
      <c r="C9" s="11" t="s">
        <v>24</v>
      </c>
      <c r="D9" s="11" t="s">
        <v>19</v>
      </c>
      <c r="E9" s="11">
        <v>850</v>
      </c>
      <c r="F9" s="11">
        <v>2</v>
      </c>
      <c r="G9" s="11">
        <v>0</v>
      </c>
      <c r="H9" s="11">
        <v>0</v>
      </c>
      <c r="I9" s="11">
        <v>2</v>
      </c>
      <c r="J9" s="11">
        <f t="shared" si="0"/>
        <v>1700</v>
      </c>
      <c r="K9" s="11"/>
      <c r="L9" s="11">
        <v>0</v>
      </c>
      <c r="M9" s="11">
        <v>4</v>
      </c>
      <c r="N9" s="11">
        <v>4</v>
      </c>
      <c r="O9" s="11">
        <v>0</v>
      </c>
      <c r="P9" s="11">
        <f t="shared" si="1"/>
        <v>0</v>
      </c>
    </row>
    <row r="10" ht="14.4" spans="1:16">
      <c r="A10" s="12"/>
      <c r="B10" s="11" t="s">
        <v>25</v>
      </c>
      <c r="C10" s="11" t="s">
        <v>24</v>
      </c>
      <c r="D10" s="11" t="s">
        <v>19</v>
      </c>
      <c r="E10" s="11">
        <v>850</v>
      </c>
      <c r="F10" s="11">
        <v>2</v>
      </c>
      <c r="G10" s="11">
        <v>0</v>
      </c>
      <c r="H10" s="11">
        <v>0</v>
      </c>
      <c r="I10" s="11">
        <v>2</v>
      </c>
      <c r="J10" s="11">
        <f t="shared" si="0"/>
        <v>1700</v>
      </c>
      <c r="K10" s="11"/>
      <c r="L10" s="11">
        <v>0</v>
      </c>
      <c r="M10" s="11">
        <v>8</v>
      </c>
      <c r="N10" s="11">
        <v>5</v>
      </c>
      <c r="O10" s="11">
        <v>3</v>
      </c>
      <c r="P10" s="11">
        <f t="shared" si="1"/>
        <v>2550</v>
      </c>
    </row>
    <row r="11" ht="14.4" spans="1:16">
      <c r="A11" s="12"/>
      <c r="B11" s="11" t="s">
        <v>26</v>
      </c>
      <c r="C11" s="11" t="s">
        <v>27</v>
      </c>
      <c r="D11" s="11" t="s">
        <v>19</v>
      </c>
      <c r="E11" s="11">
        <v>950</v>
      </c>
      <c r="F11" s="11">
        <v>0</v>
      </c>
      <c r="G11" s="11">
        <v>0</v>
      </c>
      <c r="H11" s="11">
        <v>0</v>
      </c>
      <c r="I11" s="11">
        <v>0</v>
      </c>
      <c r="J11" s="11">
        <f t="shared" si="0"/>
        <v>0</v>
      </c>
      <c r="K11" s="11"/>
      <c r="L11" s="11">
        <v>4</v>
      </c>
      <c r="M11" s="11">
        <v>0</v>
      </c>
      <c r="N11" s="11">
        <v>4</v>
      </c>
      <c r="O11" s="11">
        <v>0</v>
      </c>
      <c r="P11" s="11">
        <f t="shared" si="1"/>
        <v>0</v>
      </c>
    </row>
    <row r="12" ht="14.4" spans="1:16">
      <c r="A12" s="12"/>
      <c r="B12" s="11" t="s">
        <v>28</v>
      </c>
      <c r="C12" s="11" t="s">
        <v>29</v>
      </c>
      <c r="D12" s="11" t="s">
        <v>30</v>
      </c>
      <c r="E12" s="11">
        <v>90</v>
      </c>
      <c r="F12" s="11">
        <v>7</v>
      </c>
      <c r="G12" s="11">
        <v>0</v>
      </c>
      <c r="H12" s="11">
        <v>7</v>
      </c>
      <c r="I12" s="11">
        <v>0</v>
      </c>
      <c r="J12" s="11">
        <f t="shared" si="0"/>
        <v>0</v>
      </c>
      <c r="K12" s="11"/>
      <c r="L12" s="11">
        <v>7</v>
      </c>
      <c r="M12" s="11">
        <v>0</v>
      </c>
      <c r="N12" s="11">
        <v>6</v>
      </c>
      <c r="O12" s="11">
        <v>1</v>
      </c>
      <c r="P12" s="11">
        <f t="shared" si="1"/>
        <v>90</v>
      </c>
    </row>
    <row r="13" ht="14.4" spans="1:16">
      <c r="A13" s="12"/>
      <c r="B13" s="11" t="s">
        <v>31</v>
      </c>
      <c r="C13" s="11" t="s">
        <v>32</v>
      </c>
      <c r="D13" s="11" t="s">
        <v>33</v>
      </c>
      <c r="E13" s="11">
        <v>120</v>
      </c>
      <c r="F13" s="11">
        <v>4</v>
      </c>
      <c r="G13" s="11">
        <v>0</v>
      </c>
      <c r="H13" s="11">
        <v>4</v>
      </c>
      <c r="I13" s="11">
        <v>0</v>
      </c>
      <c r="J13" s="11">
        <f t="shared" si="0"/>
        <v>0</v>
      </c>
      <c r="K13" s="11"/>
      <c r="L13" s="11">
        <v>4</v>
      </c>
      <c r="M13" s="11">
        <v>0</v>
      </c>
      <c r="N13" s="11">
        <v>4</v>
      </c>
      <c r="O13" s="11">
        <v>0</v>
      </c>
      <c r="P13" s="11">
        <f t="shared" si="1"/>
        <v>0</v>
      </c>
    </row>
    <row r="14" ht="14.4" spans="1:16">
      <c r="A14" s="12"/>
      <c r="B14" s="11" t="s">
        <v>31</v>
      </c>
      <c r="C14" s="11" t="s">
        <v>32</v>
      </c>
      <c r="D14" s="11" t="s">
        <v>30</v>
      </c>
      <c r="E14" s="11">
        <v>100</v>
      </c>
      <c r="F14" s="11">
        <v>5</v>
      </c>
      <c r="G14" s="11">
        <v>0</v>
      </c>
      <c r="H14" s="11">
        <v>5</v>
      </c>
      <c r="I14" s="11">
        <v>0</v>
      </c>
      <c r="J14" s="11">
        <f t="shared" si="0"/>
        <v>0</v>
      </c>
      <c r="K14" s="11"/>
      <c r="L14" s="11">
        <v>5</v>
      </c>
      <c r="M14" s="11">
        <v>0</v>
      </c>
      <c r="N14" s="11">
        <v>4</v>
      </c>
      <c r="O14" s="11">
        <v>1</v>
      </c>
      <c r="P14" s="11">
        <f t="shared" si="1"/>
        <v>100</v>
      </c>
    </row>
    <row r="15" ht="14.4" spans="1:16">
      <c r="A15" s="12"/>
      <c r="B15" s="11" t="s">
        <v>34</v>
      </c>
      <c r="C15" s="11"/>
      <c r="D15" s="11" t="s">
        <v>33</v>
      </c>
      <c r="E15" s="11">
        <v>120</v>
      </c>
      <c r="F15" s="11">
        <v>5</v>
      </c>
      <c r="G15" s="11">
        <v>0</v>
      </c>
      <c r="H15" s="11">
        <v>5</v>
      </c>
      <c r="I15" s="11">
        <v>0</v>
      </c>
      <c r="J15" s="11">
        <f t="shared" si="0"/>
        <v>0</v>
      </c>
      <c r="K15" s="11"/>
      <c r="L15" s="11">
        <v>5</v>
      </c>
      <c r="M15" s="11">
        <v>0</v>
      </c>
      <c r="N15" s="11">
        <v>2</v>
      </c>
      <c r="O15" s="11">
        <v>2</v>
      </c>
      <c r="P15" s="11">
        <f t="shared" si="1"/>
        <v>240</v>
      </c>
    </row>
    <row r="16" ht="14.4" spans="1:16">
      <c r="A16" s="3" t="s">
        <v>35</v>
      </c>
      <c r="B16" s="11" t="s">
        <v>36</v>
      </c>
      <c r="C16" s="11"/>
      <c r="D16" s="11" t="s">
        <v>37</v>
      </c>
      <c r="E16" s="11">
        <v>120</v>
      </c>
      <c r="F16" s="11">
        <v>10</v>
      </c>
      <c r="G16" s="11">
        <v>0</v>
      </c>
      <c r="H16" s="11">
        <v>8</v>
      </c>
      <c r="I16" s="11">
        <v>2</v>
      </c>
      <c r="J16" s="11">
        <f t="shared" si="0"/>
        <v>240</v>
      </c>
      <c r="K16" s="11"/>
      <c r="L16" s="11">
        <v>8</v>
      </c>
      <c r="M16" s="11">
        <v>0</v>
      </c>
      <c r="N16" s="11">
        <v>8</v>
      </c>
      <c r="O16" s="11">
        <v>0</v>
      </c>
      <c r="P16" s="11">
        <f t="shared" si="1"/>
        <v>0</v>
      </c>
    </row>
    <row r="17" ht="14.4" spans="1:16">
      <c r="A17" s="6"/>
      <c r="B17" s="11" t="s">
        <v>38</v>
      </c>
      <c r="C17" s="11" t="s">
        <v>39</v>
      </c>
      <c r="D17" s="11" t="s">
        <v>37</v>
      </c>
      <c r="E17" s="11">
        <v>130</v>
      </c>
      <c r="F17" s="11">
        <v>11</v>
      </c>
      <c r="G17" s="11">
        <v>0</v>
      </c>
      <c r="H17" s="11">
        <v>8</v>
      </c>
      <c r="I17" s="11">
        <v>3</v>
      </c>
      <c r="J17" s="11">
        <f t="shared" si="0"/>
        <v>390</v>
      </c>
      <c r="K17" s="11"/>
      <c r="L17" s="11">
        <v>8</v>
      </c>
      <c r="M17" s="11">
        <v>0</v>
      </c>
      <c r="N17" s="11">
        <v>8</v>
      </c>
      <c r="O17" s="11">
        <v>0</v>
      </c>
      <c r="P17" s="11">
        <f t="shared" si="1"/>
        <v>0</v>
      </c>
    </row>
    <row r="18" ht="14.4" spans="1:16">
      <c r="A18" s="6"/>
      <c r="B18" s="11" t="s">
        <v>38</v>
      </c>
      <c r="C18" s="11" t="s">
        <v>39</v>
      </c>
      <c r="D18" s="11" t="s">
        <v>41</v>
      </c>
      <c r="E18" s="11">
        <v>250</v>
      </c>
      <c r="F18" s="11">
        <v>13</v>
      </c>
      <c r="G18" s="11">
        <v>0</v>
      </c>
      <c r="H18" s="11">
        <v>9</v>
      </c>
      <c r="I18" s="11">
        <v>4</v>
      </c>
      <c r="J18" s="11">
        <f t="shared" si="0"/>
        <v>1000</v>
      </c>
      <c r="K18" s="11"/>
      <c r="L18" s="11">
        <v>9</v>
      </c>
      <c r="M18" s="11">
        <v>0</v>
      </c>
      <c r="N18" s="11">
        <v>4</v>
      </c>
      <c r="O18" s="11">
        <v>5</v>
      </c>
      <c r="P18" s="11">
        <f t="shared" si="1"/>
        <v>1250</v>
      </c>
    </row>
    <row r="19" ht="14.4" spans="1:16">
      <c r="A19" s="6"/>
      <c r="B19" s="11" t="s">
        <v>42</v>
      </c>
      <c r="C19" s="11" t="s">
        <v>43</v>
      </c>
      <c r="D19" s="11" t="s">
        <v>44</v>
      </c>
      <c r="E19" s="11">
        <v>120</v>
      </c>
      <c r="F19" s="11">
        <v>3</v>
      </c>
      <c r="G19" s="11">
        <v>0</v>
      </c>
      <c r="H19" s="11">
        <v>3</v>
      </c>
      <c r="I19" s="11">
        <v>0</v>
      </c>
      <c r="J19" s="11">
        <f t="shared" si="0"/>
        <v>0</v>
      </c>
      <c r="K19" s="11"/>
      <c r="L19" s="11">
        <v>3</v>
      </c>
      <c r="M19" s="11">
        <v>0</v>
      </c>
      <c r="N19" s="11">
        <v>3</v>
      </c>
      <c r="O19" s="11">
        <v>0</v>
      </c>
      <c r="P19" s="11">
        <f t="shared" si="1"/>
        <v>0</v>
      </c>
    </row>
    <row r="20" ht="14.4" spans="1:16">
      <c r="A20" s="6"/>
      <c r="B20" s="11" t="s">
        <v>45</v>
      </c>
      <c r="C20" s="11" t="s">
        <v>46</v>
      </c>
      <c r="D20" s="11" t="s">
        <v>41</v>
      </c>
      <c r="E20" s="11">
        <v>200</v>
      </c>
      <c r="F20" s="11">
        <v>3</v>
      </c>
      <c r="G20" s="11">
        <v>0</v>
      </c>
      <c r="H20" s="11">
        <v>2</v>
      </c>
      <c r="I20" s="11">
        <v>1</v>
      </c>
      <c r="J20" s="11">
        <f t="shared" si="0"/>
        <v>200</v>
      </c>
      <c r="K20" s="11"/>
      <c r="L20" s="11">
        <v>2</v>
      </c>
      <c r="M20" s="11">
        <v>0</v>
      </c>
      <c r="N20" s="11">
        <v>2</v>
      </c>
      <c r="O20" s="11">
        <v>0</v>
      </c>
      <c r="P20" s="11">
        <f t="shared" si="1"/>
        <v>0</v>
      </c>
    </row>
    <row r="21" ht="14.4" spans="1:16">
      <c r="A21" s="6"/>
      <c r="B21" s="11" t="s">
        <v>47</v>
      </c>
      <c r="C21" s="11"/>
      <c r="D21" s="11" t="s">
        <v>37</v>
      </c>
      <c r="E21" s="11">
        <v>100</v>
      </c>
      <c r="F21" s="11">
        <v>6</v>
      </c>
      <c r="G21" s="11">
        <v>0</v>
      </c>
      <c r="H21" s="11">
        <v>6</v>
      </c>
      <c r="I21" s="11">
        <v>0</v>
      </c>
      <c r="J21" s="11">
        <f t="shared" si="0"/>
        <v>0</v>
      </c>
      <c r="K21" s="11"/>
      <c r="L21" s="11">
        <v>6</v>
      </c>
      <c r="M21" s="11">
        <v>0</v>
      </c>
      <c r="N21" s="11">
        <v>3</v>
      </c>
      <c r="O21" s="11">
        <v>3</v>
      </c>
      <c r="P21" s="11">
        <f t="shared" si="1"/>
        <v>300</v>
      </c>
    </row>
    <row r="22" ht="14.4" spans="1:16">
      <c r="A22" s="6"/>
      <c r="B22" s="11" t="s">
        <v>48</v>
      </c>
      <c r="C22" s="11"/>
      <c r="D22" s="11" t="s">
        <v>49</v>
      </c>
      <c r="E22" s="11">
        <v>100</v>
      </c>
      <c r="F22" s="11">
        <v>10</v>
      </c>
      <c r="G22" s="11">
        <v>0</v>
      </c>
      <c r="H22" s="11">
        <v>8</v>
      </c>
      <c r="I22" s="11">
        <v>2</v>
      </c>
      <c r="J22" s="11">
        <f t="shared" si="0"/>
        <v>200</v>
      </c>
      <c r="K22" s="11"/>
      <c r="L22" s="11">
        <v>8</v>
      </c>
      <c r="M22" s="11">
        <v>0</v>
      </c>
      <c r="N22" s="11">
        <v>2</v>
      </c>
      <c r="O22" s="11">
        <v>6</v>
      </c>
      <c r="P22" s="11">
        <f t="shared" si="1"/>
        <v>600</v>
      </c>
    </row>
    <row r="23" ht="14.4" spans="1:16">
      <c r="A23" s="9"/>
      <c r="B23" s="11" t="s">
        <v>50</v>
      </c>
      <c r="C23" s="11"/>
      <c r="D23" s="11" t="s">
        <v>51</v>
      </c>
      <c r="E23" s="11">
        <v>150</v>
      </c>
      <c r="F23" s="11">
        <v>12</v>
      </c>
      <c r="G23" s="11">
        <v>0</v>
      </c>
      <c r="H23" s="11">
        <v>12</v>
      </c>
      <c r="I23" s="11">
        <v>0</v>
      </c>
      <c r="J23" s="11">
        <f t="shared" si="0"/>
        <v>0</v>
      </c>
      <c r="K23" s="11"/>
      <c r="L23" s="11">
        <v>12</v>
      </c>
      <c r="M23" s="11">
        <v>0</v>
      </c>
      <c r="N23" s="11">
        <v>12</v>
      </c>
      <c r="O23" s="11">
        <v>0</v>
      </c>
      <c r="P23" s="11">
        <f t="shared" si="1"/>
        <v>0</v>
      </c>
    </row>
    <row r="24" ht="14.4" spans="1:16">
      <c r="A24" s="3" t="s">
        <v>52</v>
      </c>
      <c r="B24" s="11" t="s">
        <v>53</v>
      </c>
      <c r="C24" s="11"/>
      <c r="D24" s="11" t="s">
        <v>54</v>
      </c>
      <c r="E24" s="11">
        <v>100</v>
      </c>
      <c r="F24" s="11">
        <v>17</v>
      </c>
      <c r="G24" s="11">
        <v>0</v>
      </c>
      <c r="H24" s="11">
        <v>14</v>
      </c>
      <c r="I24" s="11">
        <v>4</v>
      </c>
      <c r="J24" s="11">
        <f t="shared" si="0"/>
        <v>400</v>
      </c>
      <c r="K24" s="11"/>
      <c r="L24" s="11">
        <v>14</v>
      </c>
      <c r="M24" s="11">
        <v>0</v>
      </c>
      <c r="N24" s="11">
        <v>12</v>
      </c>
      <c r="O24" s="11">
        <v>3</v>
      </c>
      <c r="P24" s="11">
        <f t="shared" si="1"/>
        <v>300</v>
      </c>
    </row>
    <row r="25" ht="14.4" spans="1:16">
      <c r="A25" s="12"/>
      <c r="B25" s="11" t="s">
        <v>53</v>
      </c>
      <c r="C25" s="11"/>
      <c r="D25" s="11" t="s">
        <v>55</v>
      </c>
      <c r="E25" s="11">
        <v>200</v>
      </c>
      <c r="F25" s="11">
        <v>12</v>
      </c>
      <c r="G25" s="11">
        <v>12</v>
      </c>
      <c r="H25" s="11">
        <v>23</v>
      </c>
      <c r="I25" s="11">
        <v>1</v>
      </c>
      <c r="J25" s="11">
        <f t="shared" si="0"/>
        <v>200</v>
      </c>
      <c r="K25" s="11"/>
      <c r="L25" s="11">
        <v>23</v>
      </c>
      <c r="M25" s="11">
        <v>0</v>
      </c>
      <c r="N25" s="11">
        <v>14</v>
      </c>
      <c r="O25" s="11">
        <v>0</v>
      </c>
      <c r="P25" s="11">
        <f t="shared" si="1"/>
        <v>0</v>
      </c>
    </row>
    <row r="26" ht="14.4" spans="1:16">
      <c r="A26" s="12"/>
      <c r="B26" s="11" t="s">
        <v>56</v>
      </c>
      <c r="C26" s="11"/>
      <c r="D26" s="11" t="s">
        <v>55</v>
      </c>
      <c r="E26" s="11">
        <v>200</v>
      </c>
      <c r="F26" s="11">
        <v>6</v>
      </c>
      <c r="G26" s="11">
        <v>0</v>
      </c>
      <c r="H26" s="11">
        <v>4</v>
      </c>
      <c r="I26" s="11">
        <v>2</v>
      </c>
      <c r="J26" s="11">
        <f t="shared" si="0"/>
        <v>400</v>
      </c>
      <c r="K26" s="11"/>
      <c r="L26" s="11">
        <v>5</v>
      </c>
      <c r="M26" s="11">
        <v>0</v>
      </c>
      <c r="N26" s="11">
        <v>5</v>
      </c>
      <c r="O26" s="11">
        <v>0</v>
      </c>
      <c r="P26" s="11">
        <f t="shared" si="1"/>
        <v>0</v>
      </c>
    </row>
    <row r="27" ht="14.4" spans="1:16">
      <c r="A27" s="12"/>
      <c r="B27" s="11" t="s">
        <v>57</v>
      </c>
      <c r="C27" s="11"/>
      <c r="D27" s="11" t="s">
        <v>58</v>
      </c>
      <c r="E27" s="11">
        <v>270</v>
      </c>
      <c r="F27" s="11">
        <v>4</v>
      </c>
      <c r="G27" s="11">
        <v>0</v>
      </c>
      <c r="H27" s="11">
        <v>4</v>
      </c>
      <c r="I27" s="11">
        <v>0</v>
      </c>
      <c r="J27" s="11">
        <f t="shared" si="0"/>
        <v>0</v>
      </c>
      <c r="K27" s="11"/>
      <c r="L27" s="11">
        <v>4</v>
      </c>
      <c r="M27" s="11">
        <v>0</v>
      </c>
      <c r="N27" s="11">
        <v>2</v>
      </c>
      <c r="O27" s="11">
        <v>2</v>
      </c>
      <c r="P27" s="11">
        <f t="shared" si="1"/>
        <v>540</v>
      </c>
    </row>
    <row r="28" ht="14.4" spans="1:16">
      <c r="A28" s="12"/>
      <c r="B28" s="11" t="s">
        <v>57</v>
      </c>
      <c r="C28" s="11"/>
      <c r="D28" s="11" t="s">
        <v>59</v>
      </c>
      <c r="E28" s="11">
        <v>190</v>
      </c>
      <c r="F28" s="11">
        <v>13</v>
      </c>
      <c r="G28" s="11">
        <v>0</v>
      </c>
      <c r="H28" s="11">
        <v>13</v>
      </c>
      <c r="I28" s="11">
        <v>0</v>
      </c>
      <c r="J28" s="11">
        <f t="shared" si="0"/>
        <v>0</v>
      </c>
      <c r="K28" s="11"/>
      <c r="L28" s="11">
        <v>13</v>
      </c>
      <c r="M28" s="11">
        <v>0</v>
      </c>
      <c r="N28" s="11">
        <v>13</v>
      </c>
      <c r="O28" s="11">
        <v>0</v>
      </c>
      <c r="P28" s="11">
        <f t="shared" si="1"/>
        <v>0</v>
      </c>
    </row>
    <row r="29" ht="14.4" spans="1:16">
      <c r="A29" s="12"/>
      <c r="B29" s="11" t="s">
        <v>60</v>
      </c>
      <c r="C29" s="11"/>
      <c r="D29" s="11" t="s">
        <v>59</v>
      </c>
      <c r="E29" s="11">
        <v>350</v>
      </c>
      <c r="F29" s="11">
        <v>2</v>
      </c>
      <c r="G29" s="11">
        <v>0</v>
      </c>
      <c r="H29" s="11">
        <v>2</v>
      </c>
      <c r="I29" s="11">
        <v>0</v>
      </c>
      <c r="J29" s="11">
        <f t="shared" si="0"/>
        <v>0</v>
      </c>
      <c r="K29" s="11"/>
      <c r="L29" s="11">
        <v>2</v>
      </c>
      <c r="M29" s="11">
        <v>0</v>
      </c>
      <c r="N29" s="11">
        <v>2</v>
      </c>
      <c r="O29" s="11">
        <v>0</v>
      </c>
      <c r="P29" s="11">
        <f t="shared" si="1"/>
        <v>0</v>
      </c>
    </row>
    <row r="30" ht="14.4" spans="1:16">
      <c r="A30" s="12"/>
      <c r="B30" s="11" t="s">
        <v>61</v>
      </c>
      <c r="C30" s="11"/>
      <c r="D30" s="11" t="s">
        <v>55</v>
      </c>
      <c r="E30" s="11">
        <v>200</v>
      </c>
      <c r="F30" s="11">
        <v>9</v>
      </c>
      <c r="G30" s="11">
        <v>12</v>
      </c>
      <c r="H30" s="11">
        <v>20</v>
      </c>
      <c r="I30" s="11">
        <v>1</v>
      </c>
      <c r="J30" s="11">
        <f t="shared" si="0"/>
        <v>200</v>
      </c>
      <c r="K30" s="11"/>
      <c r="L30" s="11">
        <v>20</v>
      </c>
      <c r="M30" s="11">
        <v>0</v>
      </c>
      <c r="N30" s="11">
        <v>16</v>
      </c>
      <c r="O30" s="11">
        <v>4</v>
      </c>
      <c r="P30" s="11">
        <f t="shared" si="1"/>
        <v>800</v>
      </c>
    </row>
    <row r="31" ht="14.4" spans="1:16">
      <c r="A31" s="12"/>
      <c r="B31" s="11" t="s">
        <v>156</v>
      </c>
      <c r="C31" s="11"/>
      <c r="D31" s="11" t="s">
        <v>58</v>
      </c>
      <c r="E31" s="11">
        <v>350</v>
      </c>
      <c r="F31" s="11">
        <v>0</v>
      </c>
      <c r="G31" s="11">
        <v>3</v>
      </c>
      <c r="H31" s="11">
        <v>3</v>
      </c>
      <c r="I31" s="11">
        <v>0</v>
      </c>
      <c r="J31" s="11">
        <f t="shared" si="0"/>
        <v>0</v>
      </c>
      <c r="K31" s="11"/>
      <c r="L31" s="11">
        <v>3</v>
      </c>
      <c r="M31" s="11">
        <v>0</v>
      </c>
      <c r="N31" s="11">
        <v>3</v>
      </c>
      <c r="O31" s="11">
        <v>0</v>
      </c>
      <c r="P31" s="11">
        <f t="shared" si="1"/>
        <v>0</v>
      </c>
    </row>
    <row r="32" ht="14.4" spans="1:16">
      <c r="A32" s="12"/>
      <c r="B32" s="11" t="s">
        <v>62</v>
      </c>
      <c r="C32" s="11"/>
      <c r="D32" s="11" t="s">
        <v>54</v>
      </c>
      <c r="E32" s="11">
        <v>150</v>
      </c>
      <c r="F32" s="11">
        <v>12</v>
      </c>
      <c r="G32" s="11">
        <v>12</v>
      </c>
      <c r="H32" s="11">
        <v>24</v>
      </c>
      <c r="I32" s="11">
        <v>0</v>
      </c>
      <c r="J32" s="11">
        <f t="shared" si="0"/>
        <v>0</v>
      </c>
      <c r="K32" s="11"/>
      <c r="L32" s="11">
        <v>24</v>
      </c>
      <c r="M32" s="11">
        <v>0</v>
      </c>
      <c r="N32" s="11">
        <v>20</v>
      </c>
      <c r="O32" s="11">
        <v>4</v>
      </c>
      <c r="P32" s="11">
        <f t="shared" si="1"/>
        <v>600</v>
      </c>
    </row>
    <row r="33" ht="14.4" spans="1:16">
      <c r="A33" s="12"/>
      <c r="B33" s="11" t="s">
        <v>63</v>
      </c>
      <c r="C33" s="11" t="s">
        <v>64</v>
      </c>
      <c r="D33" s="11" t="s">
        <v>65</v>
      </c>
      <c r="E33" s="11">
        <v>100</v>
      </c>
      <c r="F33" s="11">
        <v>46</v>
      </c>
      <c r="G33" s="11">
        <v>0</v>
      </c>
      <c r="H33" s="11">
        <v>31</v>
      </c>
      <c r="I33" s="11">
        <v>15</v>
      </c>
      <c r="J33" s="11">
        <f t="shared" si="0"/>
        <v>1500</v>
      </c>
      <c r="K33" s="11"/>
      <c r="L33" s="11">
        <v>31</v>
      </c>
      <c r="M33" s="11">
        <v>0</v>
      </c>
      <c r="N33" s="11">
        <v>13</v>
      </c>
      <c r="O33" s="11">
        <v>10</v>
      </c>
      <c r="P33" s="11">
        <f t="shared" si="1"/>
        <v>1000</v>
      </c>
    </row>
    <row r="34" ht="14.4" spans="1:16">
      <c r="A34" s="12"/>
      <c r="B34" s="11" t="s">
        <v>63</v>
      </c>
      <c r="C34" s="11" t="s">
        <v>64</v>
      </c>
      <c r="D34" s="11" t="s">
        <v>41</v>
      </c>
      <c r="E34" s="11">
        <v>150</v>
      </c>
      <c r="F34" s="11">
        <v>67</v>
      </c>
      <c r="G34" s="11">
        <v>0</v>
      </c>
      <c r="H34" s="11">
        <v>64</v>
      </c>
      <c r="I34" s="11">
        <v>3</v>
      </c>
      <c r="J34" s="11">
        <f t="shared" si="0"/>
        <v>450</v>
      </c>
      <c r="K34" s="11"/>
      <c r="L34" s="11">
        <v>64</v>
      </c>
      <c r="M34" s="11">
        <v>0</v>
      </c>
      <c r="N34" s="11">
        <v>54</v>
      </c>
      <c r="O34" s="11">
        <v>10</v>
      </c>
      <c r="P34" s="11">
        <f t="shared" si="1"/>
        <v>1500</v>
      </c>
    </row>
    <row r="35" ht="14.4" spans="1:16">
      <c r="A35" s="12"/>
      <c r="B35" s="11" t="s">
        <v>63</v>
      </c>
      <c r="C35" s="11" t="s">
        <v>64</v>
      </c>
      <c r="D35" s="11" t="s">
        <v>66</v>
      </c>
      <c r="E35" s="11">
        <v>100</v>
      </c>
      <c r="F35" s="11">
        <v>44</v>
      </c>
      <c r="G35" s="11">
        <v>0</v>
      </c>
      <c r="H35" s="11">
        <v>43</v>
      </c>
      <c r="I35" s="11">
        <v>1</v>
      </c>
      <c r="J35" s="11">
        <f t="shared" si="0"/>
        <v>100</v>
      </c>
      <c r="K35" s="11"/>
      <c r="L35" s="11">
        <v>45</v>
      </c>
      <c r="M35" s="11">
        <v>0</v>
      </c>
      <c r="N35" s="11">
        <v>43</v>
      </c>
      <c r="O35" s="11">
        <v>2</v>
      </c>
      <c r="P35" s="11">
        <f t="shared" si="1"/>
        <v>200</v>
      </c>
    </row>
    <row r="36" ht="14.4" spans="1:16">
      <c r="A36" s="12"/>
      <c r="B36" s="11" t="s">
        <v>67</v>
      </c>
      <c r="C36" s="11" t="s">
        <v>68</v>
      </c>
      <c r="D36" s="11" t="s">
        <v>41</v>
      </c>
      <c r="E36" s="11">
        <v>150</v>
      </c>
      <c r="F36" s="11">
        <v>9</v>
      </c>
      <c r="G36" s="11">
        <v>0</v>
      </c>
      <c r="H36" s="11">
        <v>7</v>
      </c>
      <c r="I36" s="11">
        <v>2</v>
      </c>
      <c r="J36" s="11">
        <f t="shared" si="0"/>
        <v>300</v>
      </c>
      <c r="K36" s="11"/>
      <c r="L36" s="11">
        <v>7</v>
      </c>
      <c r="M36" s="11">
        <v>0</v>
      </c>
      <c r="N36" s="11">
        <v>6</v>
      </c>
      <c r="O36" s="11">
        <v>1</v>
      </c>
      <c r="P36" s="11">
        <f t="shared" si="1"/>
        <v>150</v>
      </c>
    </row>
    <row r="37" ht="14.4" spans="1:16">
      <c r="A37" s="12"/>
      <c r="B37" s="11" t="s">
        <v>69</v>
      </c>
      <c r="C37" s="11" t="s">
        <v>68</v>
      </c>
      <c r="D37" s="11" t="s">
        <v>66</v>
      </c>
      <c r="E37" s="11">
        <v>200</v>
      </c>
      <c r="F37" s="11">
        <v>12</v>
      </c>
      <c r="G37" s="11">
        <v>0</v>
      </c>
      <c r="H37" s="11">
        <v>11</v>
      </c>
      <c r="I37" s="11">
        <v>1</v>
      </c>
      <c r="J37" s="11">
        <f t="shared" si="0"/>
        <v>200</v>
      </c>
      <c r="K37" s="11"/>
      <c r="L37" s="11">
        <v>11</v>
      </c>
      <c r="M37" s="11">
        <v>0</v>
      </c>
      <c r="N37" s="11">
        <v>10</v>
      </c>
      <c r="O37" s="11">
        <v>0</v>
      </c>
      <c r="P37" s="11">
        <f t="shared" si="1"/>
        <v>0</v>
      </c>
    </row>
    <row r="38" ht="14.4" spans="1:16">
      <c r="A38" s="12"/>
      <c r="B38" s="11" t="s">
        <v>70</v>
      </c>
      <c r="C38" s="11"/>
      <c r="D38" s="11" t="s">
        <v>58</v>
      </c>
      <c r="E38" s="11">
        <v>300</v>
      </c>
      <c r="F38" s="11">
        <v>7</v>
      </c>
      <c r="G38" s="11">
        <v>0</v>
      </c>
      <c r="H38" s="11">
        <v>7</v>
      </c>
      <c r="I38" s="11">
        <v>0</v>
      </c>
      <c r="J38" s="11">
        <f t="shared" si="0"/>
        <v>0</v>
      </c>
      <c r="K38" s="11"/>
      <c r="L38" s="11">
        <v>7</v>
      </c>
      <c r="M38" s="11">
        <v>0</v>
      </c>
      <c r="N38" s="11">
        <v>5</v>
      </c>
      <c r="O38" s="11">
        <v>1</v>
      </c>
      <c r="P38" s="11">
        <f t="shared" si="1"/>
        <v>300</v>
      </c>
    </row>
    <row r="39" ht="14.4" spans="1:16">
      <c r="A39" s="12"/>
      <c r="B39" s="11" t="s">
        <v>70</v>
      </c>
      <c r="C39" s="11"/>
      <c r="D39" s="11" t="s">
        <v>59</v>
      </c>
      <c r="E39" s="11">
        <v>200</v>
      </c>
      <c r="F39" s="11">
        <v>4</v>
      </c>
      <c r="G39" s="11">
        <v>0</v>
      </c>
      <c r="H39" s="11">
        <v>1</v>
      </c>
      <c r="I39" s="11">
        <v>3</v>
      </c>
      <c r="J39" s="11">
        <f t="shared" si="0"/>
        <v>600</v>
      </c>
      <c r="K39" s="11"/>
      <c r="L39" s="11">
        <v>1</v>
      </c>
      <c r="M39" s="11">
        <v>0</v>
      </c>
      <c r="N39" s="11">
        <v>0</v>
      </c>
      <c r="O39" s="11">
        <v>2</v>
      </c>
      <c r="P39" s="11">
        <f t="shared" si="1"/>
        <v>400</v>
      </c>
    </row>
    <row r="40" ht="14.4" spans="1:16">
      <c r="A40" s="13"/>
      <c r="B40" s="11" t="s">
        <v>71</v>
      </c>
      <c r="C40" s="11"/>
      <c r="D40" s="11" t="s">
        <v>58</v>
      </c>
      <c r="E40" s="11">
        <v>250</v>
      </c>
      <c r="F40" s="11">
        <v>5</v>
      </c>
      <c r="G40" s="11">
        <v>0</v>
      </c>
      <c r="H40" s="11">
        <v>4</v>
      </c>
      <c r="I40" s="11">
        <v>1</v>
      </c>
      <c r="J40" s="11">
        <f t="shared" si="0"/>
        <v>250</v>
      </c>
      <c r="K40" s="11"/>
      <c r="L40" s="11">
        <v>4</v>
      </c>
      <c r="M40" s="11">
        <v>0</v>
      </c>
      <c r="N40" s="11">
        <v>4</v>
      </c>
      <c r="O40" s="11">
        <v>0</v>
      </c>
      <c r="P40" s="11">
        <f t="shared" si="1"/>
        <v>0</v>
      </c>
    </row>
    <row r="41" ht="14.4" spans="1:16">
      <c r="A41" s="3" t="s">
        <v>72</v>
      </c>
      <c r="B41" s="11" t="s">
        <v>73</v>
      </c>
      <c r="C41" s="11" t="s">
        <v>74</v>
      </c>
      <c r="D41" s="11" t="s">
        <v>75</v>
      </c>
      <c r="E41" s="11">
        <v>200</v>
      </c>
      <c r="F41" s="11">
        <v>6</v>
      </c>
      <c r="G41" s="11">
        <v>0</v>
      </c>
      <c r="H41" s="11">
        <v>5</v>
      </c>
      <c r="I41" s="11">
        <v>1</v>
      </c>
      <c r="J41" s="11">
        <f t="shared" si="0"/>
        <v>200</v>
      </c>
      <c r="K41" s="11"/>
      <c r="L41" s="11">
        <v>5</v>
      </c>
      <c r="M41" s="11">
        <v>0</v>
      </c>
      <c r="N41" s="11">
        <v>2</v>
      </c>
      <c r="O41" s="11">
        <v>3</v>
      </c>
      <c r="P41" s="11">
        <f t="shared" si="1"/>
        <v>600</v>
      </c>
    </row>
    <row r="42" ht="14.4" spans="1:16">
      <c r="A42" s="13"/>
      <c r="B42" s="11" t="s">
        <v>76</v>
      </c>
      <c r="C42" s="11"/>
      <c r="D42" s="11" t="s">
        <v>157</v>
      </c>
      <c r="E42" s="11">
        <v>1000</v>
      </c>
      <c r="F42" s="11">
        <v>2</v>
      </c>
      <c r="G42" s="11">
        <v>0</v>
      </c>
      <c r="H42" s="11">
        <v>1</v>
      </c>
      <c r="I42" s="11">
        <v>1</v>
      </c>
      <c r="J42" s="11">
        <f t="shared" si="0"/>
        <v>1000</v>
      </c>
      <c r="K42" s="11"/>
      <c r="L42" s="11">
        <v>1</v>
      </c>
      <c r="M42" s="11">
        <v>0</v>
      </c>
      <c r="N42" s="11">
        <v>0</v>
      </c>
      <c r="O42" s="11">
        <v>1</v>
      </c>
      <c r="P42" s="11">
        <f t="shared" si="1"/>
        <v>1000</v>
      </c>
    </row>
    <row r="43" ht="14.4" spans="1:16">
      <c r="A43" s="3" t="s">
        <v>77</v>
      </c>
      <c r="B43" s="11" t="s">
        <v>78</v>
      </c>
      <c r="C43" s="11" t="s">
        <v>79</v>
      </c>
      <c r="D43" s="11" t="s">
        <v>65</v>
      </c>
      <c r="E43" s="11">
        <v>170</v>
      </c>
      <c r="F43" s="11">
        <v>0</v>
      </c>
      <c r="G43" s="11">
        <v>0</v>
      </c>
      <c r="H43" s="11">
        <v>0</v>
      </c>
      <c r="I43" s="11">
        <v>0</v>
      </c>
      <c r="J43" s="11">
        <f t="shared" si="0"/>
        <v>0</v>
      </c>
      <c r="K43" s="11"/>
      <c r="L43" s="11">
        <v>0</v>
      </c>
      <c r="M43" s="11">
        <v>0</v>
      </c>
      <c r="N43" s="11">
        <v>0</v>
      </c>
      <c r="O43" s="11">
        <v>0</v>
      </c>
      <c r="P43" s="11">
        <f t="shared" si="1"/>
        <v>0</v>
      </c>
    </row>
    <row r="44" ht="14.4" spans="1:16">
      <c r="A44" s="6"/>
      <c r="B44" s="11" t="s">
        <v>78</v>
      </c>
      <c r="C44" s="11" t="s">
        <v>79</v>
      </c>
      <c r="D44" s="11" t="s">
        <v>41</v>
      </c>
      <c r="E44" s="11">
        <v>300</v>
      </c>
      <c r="F44" s="11">
        <v>6</v>
      </c>
      <c r="G44" s="11">
        <v>0</v>
      </c>
      <c r="H44" s="11">
        <v>6</v>
      </c>
      <c r="I44" s="11">
        <v>0</v>
      </c>
      <c r="J44" s="11">
        <f t="shared" si="0"/>
        <v>0</v>
      </c>
      <c r="K44" s="11"/>
      <c r="L44" s="11">
        <v>7</v>
      </c>
      <c r="M44" s="11">
        <v>0</v>
      </c>
      <c r="N44" s="11">
        <v>7</v>
      </c>
      <c r="O44" s="11">
        <v>0</v>
      </c>
      <c r="P44" s="11">
        <f t="shared" si="1"/>
        <v>0</v>
      </c>
    </row>
    <row r="45" ht="14.4" spans="1:16">
      <c r="A45" s="6"/>
      <c r="B45" s="11" t="s">
        <v>80</v>
      </c>
      <c r="C45" s="11" t="s">
        <v>79</v>
      </c>
      <c r="D45" s="11" t="s">
        <v>81</v>
      </c>
      <c r="E45" s="11">
        <v>130</v>
      </c>
      <c r="F45" s="11">
        <v>3</v>
      </c>
      <c r="G45" s="11">
        <v>0</v>
      </c>
      <c r="H45" s="11">
        <v>3</v>
      </c>
      <c r="I45" s="11">
        <v>0</v>
      </c>
      <c r="J45" s="11">
        <f t="shared" si="0"/>
        <v>0</v>
      </c>
      <c r="K45" s="11"/>
      <c r="L45" s="11">
        <v>2</v>
      </c>
      <c r="M45" s="11">
        <v>0</v>
      </c>
      <c r="N45" s="11">
        <v>2</v>
      </c>
      <c r="O45" s="11">
        <v>0</v>
      </c>
      <c r="P45" s="11">
        <f t="shared" si="1"/>
        <v>0</v>
      </c>
    </row>
    <row r="46" ht="14.4" spans="1:16">
      <c r="A46" s="6"/>
      <c r="B46" s="11" t="s">
        <v>80</v>
      </c>
      <c r="C46" s="11" t="s">
        <v>79</v>
      </c>
      <c r="D46" s="11" t="s">
        <v>82</v>
      </c>
      <c r="E46" s="11">
        <v>250</v>
      </c>
      <c r="F46" s="11">
        <v>7</v>
      </c>
      <c r="G46" s="11">
        <v>0</v>
      </c>
      <c r="H46" s="11">
        <v>7</v>
      </c>
      <c r="I46" s="11">
        <v>0</v>
      </c>
      <c r="J46" s="11">
        <f t="shared" si="0"/>
        <v>0</v>
      </c>
      <c r="K46" s="11"/>
      <c r="L46" s="11">
        <v>10</v>
      </c>
      <c r="M46" s="11">
        <v>0</v>
      </c>
      <c r="N46" s="11">
        <v>8</v>
      </c>
      <c r="O46" s="11">
        <v>2</v>
      </c>
      <c r="P46" s="11">
        <f t="shared" si="1"/>
        <v>500</v>
      </c>
    </row>
    <row r="47" ht="14.4" spans="1:16">
      <c r="A47" s="6"/>
      <c r="B47" s="11" t="s">
        <v>83</v>
      </c>
      <c r="C47" s="11" t="s">
        <v>84</v>
      </c>
      <c r="D47" s="11" t="s">
        <v>85</v>
      </c>
      <c r="E47" s="11">
        <v>150</v>
      </c>
      <c r="F47" s="11">
        <v>4</v>
      </c>
      <c r="G47" s="11">
        <v>0</v>
      </c>
      <c r="H47" s="11">
        <v>3</v>
      </c>
      <c r="I47" s="11">
        <v>1</v>
      </c>
      <c r="J47" s="11">
        <f t="shared" si="0"/>
        <v>150</v>
      </c>
      <c r="K47" s="11"/>
      <c r="L47" s="11">
        <v>3</v>
      </c>
      <c r="M47" s="11">
        <v>0</v>
      </c>
      <c r="N47" s="11">
        <v>2</v>
      </c>
      <c r="O47" s="11">
        <v>1</v>
      </c>
      <c r="P47" s="11">
        <f t="shared" si="1"/>
        <v>150</v>
      </c>
    </row>
    <row r="48" ht="14.4" spans="1:16">
      <c r="A48" s="6"/>
      <c r="B48" s="11" t="s">
        <v>86</v>
      </c>
      <c r="C48" s="11"/>
      <c r="D48" s="11" t="s">
        <v>33</v>
      </c>
      <c r="E48" s="11">
        <v>100</v>
      </c>
      <c r="F48" s="11">
        <v>0</v>
      </c>
      <c r="G48" s="11">
        <v>0</v>
      </c>
      <c r="H48" s="11">
        <v>0</v>
      </c>
      <c r="I48" s="11">
        <v>0</v>
      </c>
      <c r="J48" s="11">
        <f t="shared" si="0"/>
        <v>0</v>
      </c>
      <c r="K48" s="11"/>
      <c r="L48" s="11">
        <v>0</v>
      </c>
      <c r="M48" s="11">
        <v>0</v>
      </c>
      <c r="N48" s="11">
        <v>0</v>
      </c>
      <c r="O48" s="11">
        <v>0</v>
      </c>
      <c r="P48" s="11">
        <f t="shared" si="1"/>
        <v>0</v>
      </c>
    </row>
    <row r="49" ht="14.4" spans="1:16">
      <c r="A49" s="6"/>
      <c r="B49" s="11" t="s">
        <v>86</v>
      </c>
      <c r="C49" s="11"/>
      <c r="D49" s="11" t="s">
        <v>82</v>
      </c>
      <c r="E49" s="11">
        <v>250</v>
      </c>
      <c r="F49" s="11">
        <v>9</v>
      </c>
      <c r="G49" s="11">
        <v>0</v>
      </c>
      <c r="H49" s="11">
        <v>9</v>
      </c>
      <c r="I49" s="11">
        <v>0</v>
      </c>
      <c r="J49" s="11">
        <f t="shared" si="0"/>
        <v>0</v>
      </c>
      <c r="K49" s="11"/>
      <c r="L49" s="11">
        <v>9</v>
      </c>
      <c r="M49" s="11">
        <v>0</v>
      </c>
      <c r="N49" s="11">
        <v>9</v>
      </c>
      <c r="O49" s="11">
        <v>0</v>
      </c>
      <c r="P49" s="11">
        <f t="shared" si="1"/>
        <v>0</v>
      </c>
    </row>
    <row r="50" ht="14.4" spans="1:16">
      <c r="A50" s="6"/>
      <c r="B50" s="11" t="s">
        <v>87</v>
      </c>
      <c r="C50" s="11"/>
      <c r="D50" s="11" t="s">
        <v>49</v>
      </c>
      <c r="E50" s="11">
        <v>150</v>
      </c>
      <c r="F50" s="11">
        <v>0</v>
      </c>
      <c r="G50" s="11">
        <v>6</v>
      </c>
      <c r="H50" s="11">
        <v>4</v>
      </c>
      <c r="I50" s="11">
        <v>2</v>
      </c>
      <c r="J50" s="11">
        <f t="shared" si="0"/>
        <v>300</v>
      </c>
      <c r="K50" s="11"/>
      <c r="L50" s="11">
        <v>10</v>
      </c>
      <c r="M50" s="11">
        <v>0</v>
      </c>
      <c r="N50" s="11">
        <v>5</v>
      </c>
      <c r="O50" s="11">
        <v>5</v>
      </c>
      <c r="P50" s="11">
        <f t="shared" si="1"/>
        <v>750</v>
      </c>
    </row>
    <row r="51" ht="14.4" spans="1:16">
      <c r="A51" s="6"/>
      <c r="B51" s="11" t="s">
        <v>88</v>
      </c>
      <c r="C51" s="11"/>
      <c r="D51" s="11" t="s">
        <v>82</v>
      </c>
      <c r="E51" s="11">
        <v>300</v>
      </c>
      <c r="F51" s="11">
        <v>6</v>
      </c>
      <c r="G51" s="11">
        <v>0</v>
      </c>
      <c r="H51" s="11">
        <v>4</v>
      </c>
      <c r="I51" s="11">
        <v>2</v>
      </c>
      <c r="J51" s="11">
        <f t="shared" si="0"/>
        <v>600</v>
      </c>
      <c r="K51" s="11"/>
      <c r="L51" s="11">
        <v>5</v>
      </c>
      <c r="M51" s="11">
        <v>0</v>
      </c>
      <c r="N51" s="11">
        <v>4</v>
      </c>
      <c r="O51" s="11">
        <v>1</v>
      </c>
      <c r="P51" s="11">
        <f t="shared" si="1"/>
        <v>300</v>
      </c>
    </row>
    <row r="52" ht="14.4" spans="1:16">
      <c r="A52" s="9"/>
      <c r="B52" s="11" t="s">
        <v>89</v>
      </c>
      <c r="C52" s="11"/>
      <c r="D52" s="11" t="s">
        <v>90</v>
      </c>
      <c r="E52" s="11">
        <v>430</v>
      </c>
      <c r="F52" s="11">
        <v>2</v>
      </c>
      <c r="G52" s="11">
        <v>0</v>
      </c>
      <c r="H52" s="11">
        <v>2</v>
      </c>
      <c r="I52" s="11">
        <v>0</v>
      </c>
      <c r="J52" s="11">
        <f t="shared" si="0"/>
        <v>0</v>
      </c>
      <c r="K52" s="11"/>
      <c r="L52" s="11">
        <v>2</v>
      </c>
      <c r="M52" s="11">
        <v>4</v>
      </c>
      <c r="N52" s="11">
        <v>6</v>
      </c>
      <c r="O52" s="11">
        <v>0</v>
      </c>
      <c r="P52" s="11">
        <f t="shared" si="1"/>
        <v>0</v>
      </c>
    </row>
    <row r="53" ht="14.4" spans="1:16">
      <c r="A53" s="3" t="s">
        <v>91</v>
      </c>
      <c r="B53" s="11" t="s">
        <v>92</v>
      </c>
      <c r="C53" s="11" t="s">
        <v>93</v>
      </c>
      <c r="D53" s="11" t="s">
        <v>94</v>
      </c>
      <c r="E53" s="11">
        <v>300</v>
      </c>
      <c r="F53" s="11">
        <v>5</v>
      </c>
      <c r="G53" s="11">
        <v>0</v>
      </c>
      <c r="H53" s="11">
        <v>5</v>
      </c>
      <c r="I53" s="11">
        <v>0</v>
      </c>
      <c r="J53" s="11">
        <f t="shared" si="0"/>
        <v>0</v>
      </c>
      <c r="K53" s="11"/>
      <c r="L53" s="11">
        <v>5</v>
      </c>
      <c r="M53" s="11">
        <v>0</v>
      </c>
      <c r="N53" s="11">
        <v>5</v>
      </c>
      <c r="O53" s="11">
        <v>0</v>
      </c>
      <c r="P53" s="11">
        <f t="shared" si="1"/>
        <v>0</v>
      </c>
    </row>
    <row r="54" ht="14.4" spans="1:16">
      <c r="A54" s="6"/>
      <c r="B54" s="11" t="s">
        <v>95</v>
      </c>
      <c r="C54" s="11" t="s">
        <v>96</v>
      </c>
      <c r="D54" s="11" t="s">
        <v>94</v>
      </c>
      <c r="E54" s="11">
        <v>50</v>
      </c>
      <c r="F54" s="11">
        <v>12</v>
      </c>
      <c r="G54" s="11">
        <v>0</v>
      </c>
      <c r="H54" s="11">
        <v>12</v>
      </c>
      <c r="I54" s="11">
        <v>0</v>
      </c>
      <c r="J54" s="11">
        <f t="shared" si="0"/>
        <v>0</v>
      </c>
      <c r="K54" s="11"/>
      <c r="L54" s="11">
        <v>12</v>
      </c>
      <c r="M54" s="11">
        <v>0</v>
      </c>
      <c r="N54" s="11">
        <v>2</v>
      </c>
      <c r="O54" s="11">
        <v>2</v>
      </c>
      <c r="P54" s="11">
        <f t="shared" si="1"/>
        <v>100</v>
      </c>
    </row>
    <row r="55" ht="14.4" spans="1:16">
      <c r="A55" s="6"/>
      <c r="B55" s="11" t="s">
        <v>97</v>
      </c>
      <c r="C55" s="11" t="s">
        <v>98</v>
      </c>
      <c r="D55" s="11" t="s">
        <v>19</v>
      </c>
      <c r="E55" s="11">
        <v>350</v>
      </c>
      <c r="F55" s="11">
        <v>5</v>
      </c>
      <c r="G55" s="11">
        <v>0</v>
      </c>
      <c r="H55" s="11">
        <v>5</v>
      </c>
      <c r="I55" s="11">
        <v>0</v>
      </c>
      <c r="J55" s="11">
        <f t="shared" si="0"/>
        <v>0</v>
      </c>
      <c r="K55" s="11"/>
      <c r="L55" s="11">
        <v>5</v>
      </c>
      <c r="M55" s="11">
        <v>0</v>
      </c>
      <c r="N55" s="11">
        <v>5</v>
      </c>
      <c r="O55" s="11">
        <v>0</v>
      </c>
      <c r="P55" s="11">
        <f t="shared" si="1"/>
        <v>0</v>
      </c>
    </row>
    <row r="56" ht="14.4" spans="1:16">
      <c r="A56" s="9"/>
      <c r="B56" s="11" t="s">
        <v>99</v>
      </c>
      <c r="C56" s="11" t="s">
        <v>100</v>
      </c>
      <c r="D56" s="11" t="s">
        <v>94</v>
      </c>
      <c r="E56" s="11">
        <v>150</v>
      </c>
      <c r="F56" s="11">
        <v>0</v>
      </c>
      <c r="G56" s="11">
        <v>0</v>
      </c>
      <c r="H56" s="11">
        <v>0</v>
      </c>
      <c r="I56" s="11">
        <v>0</v>
      </c>
      <c r="J56" s="11">
        <f t="shared" si="0"/>
        <v>0</v>
      </c>
      <c r="K56" s="11"/>
      <c r="L56" s="11">
        <v>0</v>
      </c>
      <c r="M56" s="11">
        <v>0</v>
      </c>
      <c r="N56" s="11">
        <v>0</v>
      </c>
      <c r="O56" s="11">
        <v>0</v>
      </c>
      <c r="P56" s="11">
        <f t="shared" si="1"/>
        <v>0</v>
      </c>
    </row>
    <row r="57" ht="14.4" spans="1:16">
      <c r="A57" s="3" t="s">
        <v>101</v>
      </c>
      <c r="B57" s="11" t="s">
        <v>102</v>
      </c>
      <c r="C57" s="11" t="s">
        <v>103</v>
      </c>
      <c r="D57" s="11" t="s">
        <v>104</v>
      </c>
      <c r="E57" s="11">
        <v>100</v>
      </c>
      <c r="F57" s="11">
        <v>9</v>
      </c>
      <c r="G57" s="11">
        <v>0</v>
      </c>
      <c r="H57" s="11">
        <v>3</v>
      </c>
      <c r="I57" s="11">
        <v>6</v>
      </c>
      <c r="J57" s="11">
        <f t="shared" si="0"/>
        <v>600</v>
      </c>
      <c r="K57" s="11"/>
      <c r="L57" s="11">
        <v>4</v>
      </c>
      <c r="M57" s="11">
        <v>0</v>
      </c>
      <c r="N57" s="11">
        <v>3</v>
      </c>
      <c r="O57" s="11">
        <v>1</v>
      </c>
      <c r="P57" s="11">
        <f t="shared" si="1"/>
        <v>100</v>
      </c>
    </row>
    <row r="58" ht="14.4" spans="1:16">
      <c r="A58" s="9"/>
      <c r="B58" s="11" t="s">
        <v>105</v>
      </c>
      <c r="C58" s="11" t="s">
        <v>103</v>
      </c>
      <c r="D58" s="11" t="s">
        <v>82</v>
      </c>
      <c r="E58" s="11">
        <v>150</v>
      </c>
      <c r="F58" s="11">
        <v>10</v>
      </c>
      <c r="G58" s="11">
        <v>0</v>
      </c>
      <c r="H58" s="11">
        <v>10</v>
      </c>
      <c r="I58" s="11">
        <v>0</v>
      </c>
      <c r="J58" s="11">
        <f t="shared" si="0"/>
        <v>0</v>
      </c>
      <c r="K58" s="11"/>
      <c r="L58" s="11">
        <v>10</v>
      </c>
      <c r="M58" s="11">
        <v>0</v>
      </c>
      <c r="N58" s="11">
        <v>7</v>
      </c>
      <c r="O58" s="11">
        <v>3</v>
      </c>
      <c r="P58" s="11">
        <f t="shared" si="1"/>
        <v>450</v>
      </c>
    </row>
    <row r="59" ht="14.4" spans="1:16">
      <c r="A59" s="3" t="s">
        <v>106</v>
      </c>
      <c r="B59" s="11" t="s">
        <v>107</v>
      </c>
      <c r="C59" s="11"/>
      <c r="D59" s="11" t="s">
        <v>108</v>
      </c>
      <c r="E59" s="11">
        <v>350</v>
      </c>
      <c r="F59" s="11">
        <v>4</v>
      </c>
      <c r="G59" s="11">
        <v>0</v>
      </c>
      <c r="H59" s="11">
        <v>0</v>
      </c>
      <c r="I59" s="11">
        <v>2</v>
      </c>
      <c r="J59" s="11">
        <f t="shared" si="0"/>
        <v>700</v>
      </c>
      <c r="K59" s="11"/>
      <c r="L59" s="11">
        <v>0</v>
      </c>
      <c r="M59" s="11">
        <v>5</v>
      </c>
      <c r="N59" s="11">
        <v>4</v>
      </c>
      <c r="O59" s="11">
        <v>1</v>
      </c>
      <c r="P59" s="11">
        <f t="shared" si="1"/>
        <v>350</v>
      </c>
    </row>
    <row r="60" ht="14.4" spans="1:16">
      <c r="A60" s="6"/>
      <c r="B60" s="11"/>
      <c r="C60" s="11"/>
      <c r="D60" s="11" t="s">
        <v>109</v>
      </c>
      <c r="E60" s="11">
        <v>430</v>
      </c>
      <c r="F60" s="11">
        <v>9</v>
      </c>
      <c r="G60" s="11">
        <v>0</v>
      </c>
      <c r="H60" s="11">
        <v>4</v>
      </c>
      <c r="I60" s="11">
        <v>0</v>
      </c>
      <c r="J60" s="11">
        <f t="shared" si="0"/>
        <v>0</v>
      </c>
      <c r="K60" s="11"/>
      <c r="L60" s="11">
        <v>4</v>
      </c>
      <c r="M60" s="11">
        <v>5</v>
      </c>
      <c r="N60" s="11">
        <v>9</v>
      </c>
      <c r="O60" s="11">
        <v>0</v>
      </c>
      <c r="P60" s="11">
        <f t="shared" si="1"/>
        <v>0</v>
      </c>
    </row>
    <row r="61" ht="14.4" spans="1:16">
      <c r="A61" s="9"/>
      <c r="B61" s="11"/>
      <c r="C61" s="11"/>
      <c r="D61" s="11" t="s">
        <v>110</v>
      </c>
      <c r="E61" s="11">
        <v>750</v>
      </c>
      <c r="F61" s="11">
        <v>6</v>
      </c>
      <c r="G61" s="11">
        <v>0</v>
      </c>
      <c r="H61" s="11">
        <v>6</v>
      </c>
      <c r="I61" s="11">
        <v>0</v>
      </c>
      <c r="J61" s="11">
        <f t="shared" si="0"/>
        <v>0</v>
      </c>
      <c r="K61" s="11"/>
      <c r="L61" s="11">
        <v>6</v>
      </c>
      <c r="M61" s="11">
        <v>0</v>
      </c>
      <c r="N61" s="11">
        <v>6</v>
      </c>
      <c r="O61" s="11">
        <v>0</v>
      </c>
      <c r="P61" s="11">
        <f t="shared" si="1"/>
        <v>0</v>
      </c>
    </row>
    <row r="62" ht="14.4" spans="1:16">
      <c r="A62" s="3" t="s">
        <v>145</v>
      </c>
      <c r="B62" s="11"/>
      <c r="C62" s="11"/>
      <c r="D62" s="11" t="s">
        <v>108</v>
      </c>
      <c r="E62" s="11">
        <v>350</v>
      </c>
      <c r="F62" s="11">
        <v>8</v>
      </c>
      <c r="G62" s="11">
        <v>0</v>
      </c>
      <c r="H62" s="11">
        <v>6</v>
      </c>
      <c r="I62" s="11">
        <v>2</v>
      </c>
      <c r="J62" s="11">
        <f t="shared" si="0"/>
        <v>700</v>
      </c>
      <c r="K62" s="11"/>
      <c r="L62" s="11">
        <v>6</v>
      </c>
      <c r="M62" s="11">
        <v>0</v>
      </c>
      <c r="N62" s="11">
        <v>6</v>
      </c>
      <c r="O62" s="11">
        <v>0</v>
      </c>
      <c r="P62" s="11">
        <f t="shared" si="1"/>
        <v>0</v>
      </c>
    </row>
    <row r="63" ht="14.4" spans="1:16">
      <c r="A63" s="6"/>
      <c r="B63" s="11"/>
      <c r="C63" s="11"/>
      <c r="D63" s="11" t="s">
        <v>109</v>
      </c>
      <c r="E63" s="11">
        <v>430</v>
      </c>
      <c r="F63" s="11">
        <v>6</v>
      </c>
      <c r="G63" s="11">
        <v>0</v>
      </c>
      <c r="H63" s="11">
        <v>6</v>
      </c>
      <c r="I63" s="11">
        <v>0</v>
      </c>
      <c r="J63" s="11">
        <f t="shared" si="0"/>
        <v>0</v>
      </c>
      <c r="K63" s="11"/>
      <c r="L63" s="11">
        <v>7</v>
      </c>
      <c r="M63" s="11">
        <v>0</v>
      </c>
      <c r="N63" s="11">
        <v>6</v>
      </c>
      <c r="O63" s="11">
        <v>1</v>
      </c>
      <c r="P63" s="11">
        <f t="shared" si="1"/>
        <v>430</v>
      </c>
    </row>
    <row r="64" ht="14.4" spans="1:16">
      <c r="A64" s="9"/>
      <c r="B64" s="11"/>
      <c r="C64" s="11"/>
      <c r="D64" s="11" t="s">
        <v>146</v>
      </c>
      <c r="E64" s="11">
        <v>750</v>
      </c>
      <c r="F64" s="11">
        <v>6</v>
      </c>
      <c r="G64" s="11">
        <v>0</v>
      </c>
      <c r="H64" s="11">
        <v>6</v>
      </c>
      <c r="I64" s="11">
        <v>0</v>
      </c>
      <c r="J64" s="11">
        <f t="shared" si="0"/>
        <v>0</v>
      </c>
      <c r="K64" s="11"/>
      <c r="L64" s="11">
        <v>5</v>
      </c>
      <c r="M64" s="11">
        <v>0</v>
      </c>
      <c r="N64" s="11">
        <v>5</v>
      </c>
      <c r="O64" s="11">
        <v>0</v>
      </c>
      <c r="P64" s="11">
        <f t="shared" si="1"/>
        <v>0</v>
      </c>
    </row>
    <row r="65" ht="14.4" spans="1:16">
      <c r="A65" s="14" t="s">
        <v>151</v>
      </c>
      <c r="B65" s="11"/>
      <c r="C65" s="11"/>
      <c r="D65" s="11"/>
      <c r="E65" s="11"/>
      <c r="F65" s="11"/>
      <c r="G65" s="11"/>
      <c r="H65" s="11"/>
      <c r="I65" s="11"/>
      <c r="J65" s="14">
        <f>SUM(J6:J64)</f>
        <v>24280</v>
      </c>
      <c r="K65" s="11"/>
      <c r="L65" s="11"/>
      <c r="M65" s="11"/>
      <c r="N65" s="11"/>
      <c r="O65" s="11"/>
      <c r="P65" s="14">
        <f>SUM(P6:P64)</f>
        <v>19050</v>
      </c>
    </row>
    <row r="66" ht="14.4" spans="1:1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</row>
    <row r="67" ht="14.4" spans="1:1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</row>
    <row r="68" ht="14.4" spans="1:1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</row>
    <row r="69" ht="14.4" spans="1:1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ht="14.4" spans="1:1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ht="14.4" spans="1:1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ht="14.4" spans="1:1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ht="14.4" spans="1:1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ht="14.4" spans="1:1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ht="14.4" spans="1:16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ht="14.4" spans="1:1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  <row r="77" ht="14.4" spans="1:16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</row>
    <row r="78" ht="14.4" spans="1:16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</row>
    <row r="79" ht="14.4" spans="1:16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</row>
    <row r="80" ht="14.4" spans="1:16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</row>
    <row r="81" ht="14.4" spans="1:16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</row>
    <row r="82" ht="14.4" spans="1:16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</row>
    <row r="83" ht="14.4" spans="1:16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ht="14.4" spans="1:16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</row>
    <row r="85" ht="14.4" spans="1:16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</row>
    <row r="86" ht="14.4" spans="1:1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</row>
  </sheetData>
  <mergeCells count="29">
    <mergeCell ref="A4:A5"/>
    <mergeCell ref="A6:A15"/>
    <mergeCell ref="A16:A23"/>
    <mergeCell ref="A24:A40"/>
    <mergeCell ref="A41:A42"/>
    <mergeCell ref="A43:A52"/>
    <mergeCell ref="A53:A56"/>
    <mergeCell ref="A57:A58"/>
    <mergeCell ref="A59:A61"/>
    <mergeCell ref="A62:A64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L4:L5"/>
    <mergeCell ref="M1:M3"/>
    <mergeCell ref="M4:M5"/>
    <mergeCell ref="N1:N3"/>
    <mergeCell ref="N4:N5"/>
    <mergeCell ref="O1:O3"/>
    <mergeCell ref="O4:O5"/>
    <mergeCell ref="P1:P3"/>
    <mergeCell ref="P4:P5"/>
    <mergeCell ref="A1:L3"/>
  </mergeCells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6"/>
  <sheetViews>
    <sheetView zoomScale="68" zoomScaleNormal="68" topLeftCell="F28" workbookViewId="0">
      <selection activeCell="M65" sqref="M65"/>
    </sheetView>
  </sheetViews>
  <sheetFormatPr defaultColWidth="8.75" defaultRowHeight="13.8"/>
  <cols>
    <col min="1" max="1" width="14.125" customWidth="1"/>
    <col min="2" max="2" width="21" customWidth="1"/>
    <col min="3" max="3" width="24.75" customWidth="1"/>
    <col min="4" max="5" width="9.125" customWidth="1"/>
    <col min="6" max="6" width="41.125" customWidth="1"/>
    <col min="7" max="7" width="16.125" customWidth="1"/>
    <col min="8" max="9" width="35.125" customWidth="1"/>
    <col min="10" max="10" width="17.25" customWidth="1"/>
    <col min="11" max="11" width="9.125" customWidth="1"/>
    <col min="12" max="12" width="31.125" customWidth="1"/>
    <col min="13" max="13" width="22.625" customWidth="1"/>
    <col min="14" max="14" width="32.125" customWidth="1"/>
    <col min="15" max="15" width="16.625" customWidth="1"/>
    <col min="16" max="16" width="19.875" customWidth="1"/>
  </cols>
  <sheetData>
    <row r="1" ht="14.45" customHeight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  <c r="N1" s="3"/>
      <c r="O1" s="3"/>
      <c r="P1" s="3"/>
    </row>
    <row r="2" ht="14.45" customHeight="1" spans="1:1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6"/>
      <c r="N2" s="6"/>
      <c r="O2" s="6"/>
      <c r="P2" s="6"/>
    </row>
    <row r="3" ht="14.45" customHeight="1" spans="1:16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8"/>
      <c r="M3" s="9"/>
      <c r="N3" s="9"/>
      <c r="O3" s="9"/>
      <c r="P3" s="9"/>
    </row>
    <row r="4" ht="14.4" spans="1:16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158</v>
      </c>
      <c r="G4" s="10" t="s">
        <v>8</v>
      </c>
      <c r="H4" s="10" t="s">
        <v>159</v>
      </c>
      <c r="I4" s="10" t="s">
        <v>10</v>
      </c>
      <c r="J4" s="10" t="s">
        <v>11</v>
      </c>
      <c r="K4" s="11"/>
      <c r="L4" s="10" t="s">
        <v>160</v>
      </c>
      <c r="M4" s="10" t="s">
        <v>8</v>
      </c>
      <c r="N4" s="10" t="s">
        <v>161</v>
      </c>
      <c r="O4" s="10" t="s">
        <v>14</v>
      </c>
      <c r="P4" s="10" t="s">
        <v>15</v>
      </c>
    </row>
    <row r="5" ht="14.4" spans="1:16">
      <c r="A5" s="9"/>
      <c r="B5" s="9"/>
      <c r="C5" s="9"/>
      <c r="D5" s="9"/>
      <c r="E5" s="9"/>
      <c r="F5" s="9"/>
      <c r="G5" s="9"/>
      <c r="H5" s="9"/>
      <c r="I5" s="9"/>
      <c r="J5" s="9"/>
      <c r="K5" s="11"/>
      <c r="L5" s="9"/>
      <c r="M5" s="9"/>
      <c r="N5" s="9"/>
      <c r="O5" s="9"/>
      <c r="P5" s="9"/>
    </row>
    <row r="6" ht="14.4" spans="1:16">
      <c r="A6" s="3" t="s">
        <v>16</v>
      </c>
      <c r="B6" s="11" t="s">
        <v>17</v>
      </c>
      <c r="C6" s="11" t="s">
        <v>18</v>
      </c>
      <c r="D6" s="11" t="s">
        <v>19</v>
      </c>
      <c r="E6" s="11">
        <v>700</v>
      </c>
      <c r="F6" s="11">
        <v>0</v>
      </c>
      <c r="G6" s="11">
        <v>0</v>
      </c>
      <c r="H6" s="11">
        <v>0</v>
      </c>
      <c r="I6" s="11">
        <v>0</v>
      </c>
      <c r="J6" s="11">
        <f>E6*I6</f>
        <v>0</v>
      </c>
      <c r="K6" s="11"/>
      <c r="L6" s="11">
        <v>0</v>
      </c>
      <c r="M6" s="11">
        <v>0</v>
      </c>
      <c r="N6" s="11">
        <v>0</v>
      </c>
      <c r="O6" s="11">
        <v>0</v>
      </c>
      <c r="P6" s="11">
        <f>E6*O6</f>
        <v>0</v>
      </c>
    </row>
    <row r="7" ht="14.4" spans="1:16">
      <c r="A7" s="12"/>
      <c r="B7" s="11" t="s">
        <v>20</v>
      </c>
      <c r="C7" s="11" t="s">
        <v>21</v>
      </c>
      <c r="D7" s="11" t="s">
        <v>19</v>
      </c>
      <c r="E7" s="11">
        <v>950</v>
      </c>
      <c r="F7" s="11">
        <v>4</v>
      </c>
      <c r="G7" s="11">
        <v>0</v>
      </c>
      <c r="H7" s="11">
        <v>4</v>
      </c>
      <c r="I7" s="11">
        <v>0</v>
      </c>
      <c r="J7" s="11">
        <f t="shared" ref="J7:J38" si="0">E7*I7</f>
        <v>0</v>
      </c>
      <c r="K7" s="11"/>
      <c r="L7" s="11">
        <v>4</v>
      </c>
      <c r="M7" s="11">
        <v>0</v>
      </c>
      <c r="N7" s="11">
        <v>4</v>
      </c>
      <c r="O7" s="11">
        <v>0</v>
      </c>
      <c r="P7" s="11">
        <f t="shared" ref="P7:P38" si="1">E7*O7</f>
        <v>0</v>
      </c>
    </row>
    <row r="8" ht="14.4" spans="1:16">
      <c r="A8" s="12"/>
      <c r="B8" s="11" t="s">
        <v>22</v>
      </c>
      <c r="C8" s="11" t="s">
        <v>21</v>
      </c>
      <c r="D8" s="11" t="s">
        <v>19</v>
      </c>
      <c r="E8" s="11">
        <v>850</v>
      </c>
      <c r="F8" s="11">
        <v>0</v>
      </c>
      <c r="G8" s="11">
        <v>0</v>
      </c>
      <c r="H8" s="11">
        <v>0</v>
      </c>
      <c r="I8" s="11">
        <v>0</v>
      </c>
      <c r="J8" s="11">
        <f t="shared" si="0"/>
        <v>0</v>
      </c>
      <c r="K8" s="11"/>
      <c r="L8" s="11">
        <v>0</v>
      </c>
      <c r="M8" s="11">
        <v>0</v>
      </c>
      <c r="N8" s="11">
        <v>0</v>
      </c>
      <c r="O8" s="11">
        <v>0</v>
      </c>
      <c r="P8" s="11">
        <f t="shared" si="1"/>
        <v>0</v>
      </c>
    </row>
    <row r="9" ht="14.4" spans="1:16">
      <c r="A9" s="12"/>
      <c r="B9" s="11" t="s">
        <v>23</v>
      </c>
      <c r="C9" s="11" t="s">
        <v>24</v>
      </c>
      <c r="D9" s="11" t="s">
        <v>19</v>
      </c>
      <c r="E9" s="11">
        <v>850</v>
      </c>
      <c r="F9" s="11">
        <v>4</v>
      </c>
      <c r="G9" s="11">
        <v>0</v>
      </c>
      <c r="H9" s="11">
        <v>4</v>
      </c>
      <c r="I9" s="11">
        <v>0</v>
      </c>
      <c r="J9" s="11">
        <f t="shared" si="0"/>
        <v>0</v>
      </c>
      <c r="K9" s="11"/>
      <c r="L9" s="11">
        <v>4</v>
      </c>
      <c r="M9" s="11">
        <v>0</v>
      </c>
      <c r="N9" s="11">
        <v>4</v>
      </c>
      <c r="O9" s="11">
        <v>0</v>
      </c>
      <c r="P9" s="11">
        <f t="shared" si="1"/>
        <v>0</v>
      </c>
    </row>
    <row r="10" ht="14.4" spans="1:16">
      <c r="A10" s="12"/>
      <c r="B10" s="11" t="s">
        <v>25</v>
      </c>
      <c r="C10" s="11" t="s">
        <v>24</v>
      </c>
      <c r="D10" s="11" t="s">
        <v>19</v>
      </c>
      <c r="E10" s="11">
        <v>850</v>
      </c>
      <c r="F10" s="11">
        <v>5</v>
      </c>
      <c r="G10" s="11">
        <v>5</v>
      </c>
      <c r="H10" s="11">
        <v>6</v>
      </c>
      <c r="I10" s="11">
        <v>4</v>
      </c>
      <c r="J10" s="11">
        <f t="shared" si="0"/>
        <v>3400</v>
      </c>
      <c r="K10" s="11"/>
      <c r="L10" s="11">
        <v>6</v>
      </c>
      <c r="M10" s="11">
        <v>0</v>
      </c>
      <c r="N10" s="11">
        <v>1</v>
      </c>
      <c r="O10" s="11">
        <v>0</v>
      </c>
      <c r="P10" s="11">
        <f t="shared" si="1"/>
        <v>0</v>
      </c>
    </row>
    <row r="11" ht="14.4" spans="1:16">
      <c r="A11" s="12"/>
      <c r="B11" s="11" t="s">
        <v>26</v>
      </c>
      <c r="C11" s="11" t="s">
        <v>27</v>
      </c>
      <c r="D11" s="11" t="s">
        <v>19</v>
      </c>
      <c r="E11" s="11">
        <v>950</v>
      </c>
      <c r="F11" s="11">
        <v>4</v>
      </c>
      <c r="G11" s="11">
        <v>0</v>
      </c>
      <c r="H11" s="11">
        <v>4</v>
      </c>
      <c r="I11" s="11">
        <v>0</v>
      </c>
      <c r="J11" s="11">
        <f t="shared" si="0"/>
        <v>0</v>
      </c>
      <c r="K11" s="11"/>
      <c r="L11" s="11">
        <v>4</v>
      </c>
      <c r="M11" s="11">
        <v>0</v>
      </c>
      <c r="N11" s="11">
        <v>4</v>
      </c>
      <c r="O11" s="11">
        <v>0</v>
      </c>
      <c r="P11" s="11">
        <f t="shared" si="1"/>
        <v>0</v>
      </c>
    </row>
    <row r="12" ht="14.4" spans="1:16">
      <c r="A12" s="12"/>
      <c r="B12" s="11" t="s">
        <v>28</v>
      </c>
      <c r="C12" s="11" t="s">
        <v>29</v>
      </c>
      <c r="D12" s="11" t="s">
        <v>30</v>
      </c>
      <c r="E12" s="11">
        <v>90</v>
      </c>
      <c r="F12" s="11">
        <v>6</v>
      </c>
      <c r="G12" s="11">
        <v>0</v>
      </c>
      <c r="H12" s="11">
        <v>6</v>
      </c>
      <c r="I12" s="11">
        <v>0</v>
      </c>
      <c r="J12" s="11">
        <f t="shared" si="0"/>
        <v>0</v>
      </c>
      <c r="K12" s="11"/>
      <c r="L12" s="11">
        <v>6</v>
      </c>
      <c r="M12" s="11">
        <v>0</v>
      </c>
      <c r="N12" s="11">
        <v>6</v>
      </c>
      <c r="O12" s="11">
        <v>0</v>
      </c>
      <c r="P12" s="11">
        <f t="shared" si="1"/>
        <v>0</v>
      </c>
    </row>
    <row r="13" ht="14.4" spans="1:16">
      <c r="A13" s="12"/>
      <c r="B13" s="11" t="s">
        <v>31</v>
      </c>
      <c r="C13" s="11" t="s">
        <v>32</v>
      </c>
      <c r="D13" s="11" t="s">
        <v>33</v>
      </c>
      <c r="E13" s="11">
        <v>120</v>
      </c>
      <c r="F13" s="11">
        <v>4</v>
      </c>
      <c r="G13" s="11">
        <v>0</v>
      </c>
      <c r="H13" s="11">
        <v>4</v>
      </c>
      <c r="I13" s="11">
        <v>0</v>
      </c>
      <c r="J13" s="11">
        <f t="shared" si="0"/>
        <v>0</v>
      </c>
      <c r="K13" s="11"/>
      <c r="L13" s="11">
        <v>4</v>
      </c>
      <c r="M13" s="11">
        <v>0</v>
      </c>
      <c r="N13" s="11">
        <v>4</v>
      </c>
      <c r="O13" s="11">
        <v>0</v>
      </c>
      <c r="P13" s="11">
        <f t="shared" si="1"/>
        <v>0</v>
      </c>
    </row>
    <row r="14" ht="14.4" spans="1:16">
      <c r="A14" s="12"/>
      <c r="B14" s="11" t="s">
        <v>31</v>
      </c>
      <c r="C14" s="11" t="s">
        <v>32</v>
      </c>
      <c r="D14" s="11" t="s">
        <v>30</v>
      </c>
      <c r="E14" s="11">
        <v>100</v>
      </c>
      <c r="F14" s="11">
        <v>4</v>
      </c>
      <c r="G14" s="11">
        <v>0</v>
      </c>
      <c r="H14" s="11">
        <v>4</v>
      </c>
      <c r="I14" s="11">
        <v>0</v>
      </c>
      <c r="J14" s="11">
        <f t="shared" si="0"/>
        <v>0</v>
      </c>
      <c r="K14" s="11"/>
      <c r="L14" s="11">
        <v>4</v>
      </c>
      <c r="M14" s="11">
        <v>0</v>
      </c>
      <c r="N14" s="11">
        <v>3</v>
      </c>
      <c r="O14" s="11">
        <v>1</v>
      </c>
      <c r="P14" s="11">
        <f t="shared" si="1"/>
        <v>100</v>
      </c>
    </row>
    <row r="15" ht="14.4" spans="1:16">
      <c r="A15" s="12"/>
      <c r="B15" s="11" t="s">
        <v>34</v>
      </c>
      <c r="C15" s="11"/>
      <c r="D15" s="11" t="s">
        <v>33</v>
      </c>
      <c r="E15" s="11">
        <v>120</v>
      </c>
      <c r="F15" s="11">
        <v>2</v>
      </c>
      <c r="G15" s="11">
        <v>0</v>
      </c>
      <c r="H15" s="11">
        <v>2</v>
      </c>
      <c r="I15" s="11">
        <v>0</v>
      </c>
      <c r="J15" s="11">
        <f t="shared" si="0"/>
        <v>0</v>
      </c>
      <c r="K15" s="11"/>
      <c r="L15" s="11">
        <v>2</v>
      </c>
      <c r="M15" s="11">
        <v>0</v>
      </c>
      <c r="N15" s="11">
        <v>2</v>
      </c>
      <c r="O15" s="11">
        <v>0</v>
      </c>
      <c r="P15" s="11">
        <f t="shared" si="1"/>
        <v>0</v>
      </c>
    </row>
    <row r="16" ht="14.4" spans="1:16">
      <c r="A16" s="3" t="s">
        <v>35</v>
      </c>
      <c r="B16" s="11" t="s">
        <v>36</v>
      </c>
      <c r="C16" s="11"/>
      <c r="D16" s="11" t="s">
        <v>37</v>
      </c>
      <c r="E16" s="11">
        <v>120</v>
      </c>
      <c r="F16" s="11">
        <v>8</v>
      </c>
      <c r="G16" s="11">
        <v>0</v>
      </c>
      <c r="H16" s="11">
        <v>8</v>
      </c>
      <c r="I16" s="11">
        <v>0</v>
      </c>
      <c r="J16" s="11">
        <f t="shared" si="0"/>
        <v>0</v>
      </c>
      <c r="K16" s="11"/>
      <c r="L16" s="11">
        <v>8</v>
      </c>
      <c r="M16" s="11">
        <v>0</v>
      </c>
      <c r="N16" s="11">
        <v>7</v>
      </c>
      <c r="O16" s="11">
        <v>1</v>
      </c>
      <c r="P16" s="11">
        <f t="shared" si="1"/>
        <v>120</v>
      </c>
    </row>
    <row r="17" ht="14.4" spans="1:16">
      <c r="A17" s="6"/>
      <c r="B17" s="11" t="s">
        <v>38</v>
      </c>
      <c r="C17" s="11" t="s">
        <v>39</v>
      </c>
      <c r="D17" s="11" t="s">
        <v>37</v>
      </c>
      <c r="E17" s="11">
        <v>130</v>
      </c>
      <c r="F17" s="11">
        <v>8</v>
      </c>
      <c r="G17" s="11">
        <v>0</v>
      </c>
      <c r="H17" s="11">
        <v>8</v>
      </c>
      <c r="I17" s="11">
        <v>1</v>
      </c>
      <c r="J17" s="11">
        <f t="shared" si="0"/>
        <v>130</v>
      </c>
      <c r="K17" s="11"/>
      <c r="L17" s="11">
        <v>8</v>
      </c>
      <c r="M17" s="11">
        <v>0</v>
      </c>
      <c r="N17" s="11">
        <v>4</v>
      </c>
      <c r="O17" s="11">
        <v>4</v>
      </c>
      <c r="P17" s="11">
        <f t="shared" si="1"/>
        <v>520</v>
      </c>
    </row>
    <row r="18" ht="14.4" spans="1:16">
      <c r="A18" s="6"/>
      <c r="B18" s="11" t="s">
        <v>38</v>
      </c>
      <c r="C18" s="11" t="s">
        <v>39</v>
      </c>
      <c r="D18" s="11" t="s">
        <v>41</v>
      </c>
      <c r="E18" s="11">
        <v>250</v>
      </c>
      <c r="F18" s="11">
        <v>4</v>
      </c>
      <c r="G18" s="11">
        <v>0</v>
      </c>
      <c r="H18" s="11">
        <v>3</v>
      </c>
      <c r="I18" s="11">
        <v>1</v>
      </c>
      <c r="J18" s="11">
        <f t="shared" si="0"/>
        <v>250</v>
      </c>
      <c r="K18" s="11"/>
      <c r="L18" s="11">
        <v>3</v>
      </c>
      <c r="M18" s="11">
        <v>0</v>
      </c>
      <c r="N18" s="11">
        <v>2</v>
      </c>
      <c r="O18" s="11">
        <v>1</v>
      </c>
      <c r="P18" s="11">
        <f t="shared" si="1"/>
        <v>250</v>
      </c>
    </row>
    <row r="19" ht="14.4" spans="1:16">
      <c r="A19" s="6"/>
      <c r="B19" s="11" t="s">
        <v>42</v>
      </c>
      <c r="C19" s="11" t="s">
        <v>43</v>
      </c>
      <c r="D19" s="11" t="s">
        <v>44</v>
      </c>
      <c r="E19" s="11">
        <v>120</v>
      </c>
      <c r="F19" s="11">
        <v>3</v>
      </c>
      <c r="G19" s="11">
        <v>0</v>
      </c>
      <c r="H19" s="11">
        <v>3</v>
      </c>
      <c r="I19" s="11">
        <v>0</v>
      </c>
      <c r="J19" s="11">
        <f t="shared" si="0"/>
        <v>0</v>
      </c>
      <c r="K19" s="11"/>
      <c r="L19" s="11">
        <v>3</v>
      </c>
      <c r="M19" s="11">
        <v>0</v>
      </c>
      <c r="N19" s="11">
        <v>3</v>
      </c>
      <c r="O19" s="11">
        <v>0</v>
      </c>
      <c r="P19" s="11">
        <f t="shared" si="1"/>
        <v>0</v>
      </c>
    </row>
    <row r="20" ht="14.4" spans="1:16">
      <c r="A20" s="6"/>
      <c r="B20" s="11" t="s">
        <v>45</v>
      </c>
      <c r="C20" s="11" t="s">
        <v>46</v>
      </c>
      <c r="D20" s="11" t="s">
        <v>41</v>
      </c>
      <c r="E20" s="11">
        <v>200</v>
      </c>
      <c r="F20" s="11">
        <v>2</v>
      </c>
      <c r="G20" s="11">
        <v>0</v>
      </c>
      <c r="H20" s="11">
        <v>2</v>
      </c>
      <c r="I20" s="11">
        <v>0</v>
      </c>
      <c r="J20" s="11">
        <f t="shared" si="0"/>
        <v>0</v>
      </c>
      <c r="K20" s="11"/>
      <c r="L20" s="11">
        <v>2</v>
      </c>
      <c r="M20" s="11">
        <v>0</v>
      </c>
      <c r="N20" s="11">
        <v>2</v>
      </c>
      <c r="O20" s="11">
        <v>0</v>
      </c>
      <c r="P20" s="11">
        <f t="shared" si="1"/>
        <v>0</v>
      </c>
    </row>
    <row r="21" ht="14.4" spans="1:16">
      <c r="A21" s="6"/>
      <c r="B21" s="11" t="s">
        <v>47</v>
      </c>
      <c r="C21" s="11"/>
      <c r="D21" s="11" t="s">
        <v>37</v>
      </c>
      <c r="E21" s="11">
        <v>100</v>
      </c>
      <c r="F21" s="11">
        <v>3</v>
      </c>
      <c r="G21" s="11">
        <v>0</v>
      </c>
      <c r="H21" s="11">
        <v>3</v>
      </c>
      <c r="I21" s="11">
        <v>0</v>
      </c>
      <c r="J21" s="11">
        <f t="shared" si="0"/>
        <v>0</v>
      </c>
      <c r="K21" s="11"/>
      <c r="L21" s="11">
        <v>3</v>
      </c>
      <c r="M21" s="11">
        <v>0</v>
      </c>
      <c r="N21" s="11">
        <v>3</v>
      </c>
      <c r="O21" s="11">
        <v>0</v>
      </c>
      <c r="P21" s="11">
        <f t="shared" si="1"/>
        <v>0</v>
      </c>
    </row>
    <row r="22" ht="14.4" spans="1:16">
      <c r="A22" s="6"/>
      <c r="B22" s="11" t="s">
        <v>48</v>
      </c>
      <c r="C22" s="11"/>
      <c r="D22" s="11" t="s">
        <v>49</v>
      </c>
      <c r="E22" s="11">
        <v>100</v>
      </c>
      <c r="F22" s="11">
        <v>2</v>
      </c>
      <c r="G22" s="11">
        <v>12</v>
      </c>
      <c r="H22" s="11">
        <v>13</v>
      </c>
      <c r="I22" s="11">
        <v>1</v>
      </c>
      <c r="J22" s="11">
        <f t="shared" si="0"/>
        <v>100</v>
      </c>
      <c r="K22" s="11"/>
      <c r="L22" s="11">
        <v>13</v>
      </c>
      <c r="M22" s="11">
        <v>0</v>
      </c>
      <c r="N22" s="11">
        <v>10</v>
      </c>
      <c r="O22" s="11">
        <v>3</v>
      </c>
      <c r="P22" s="11">
        <f t="shared" si="1"/>
        <v>300</v>
      </c>
    </row>
    <row r="23" ht="14.4" spans="1:16">
      <c r="A23" s="9"/>
      <c r="B23" s="11" t="s">
        <v>50</v>
      </c>
      <c r="C23" s="11"/>
      <c r="D23" s="11" t="s">
        <v>51</v>
      </c>
      <c r="E23" s="11">
        <v>150</v>
      </c>
      <c r="F23" s="11">
        <v>12</v>
      </c>
      <c r="G23" s="11">
        <v>0</v>
      </c>
      <c r="H23" s="11">
        <v>12</v>
      </c>
      <c r="I23" s="11">
        <v>0</v>
      </c>
      <c r="J23" s="11">
        <f t="shared" si="0"/>
        <v>0</v>
      </c>
      <c r="K23" s="11"/>
      <c r="L23" s="11">
        <v>12</v>
      </c>
      <c r="M23" s="11">
        <v>0</v>
      </c>
      <c r="N23" s="11">
        <v>12</v>
      </c>
      <c r="O23" s="11">
        <v>0</v>
      </c>
      <c r="P23" s="11">
        <f t="shared" si="1"/>
        <v>0</v>
      </c>
    </row>
    <row r="24" ht="14.4" spans="1:16">
      <c r="A24" s="3" t="s">
        <v>52</v>
      </c>
      <c r="B24" s="11" t="s">
        <v>53</v>
      </c>
      <c r="C24" s="11"/>
      <c r="D24" s="11" t="s">
        <v>54</v>
      </c>
      <c r="E24" s="11">
        <v>100</v>
      </c>
      <c r="F24" s="11">
        <v>12</v>
      </c>
      <c r="G24" s="11">
        <v>12</v>
      </c>
      <c r="H24" s="11">
        <v>21</v>
      </c>
      <c r="I24" s="11">
        <v>3</v>
      </c>
      <c r="J24" s="11">
        <f t="shared" si="0"/>
        <v>300</v>
      </c>
      <c r="K24" s="11"/>
      <c r="L24" s="11">
        <v>21</v>
      </c>
      <c r="M24" s="11">
        <v>0</v>
      </c>
      <c r="N24" s="11">
        <v>12</v>
      </c>
      <c r="O24" s="11">
        <v>9</v>
      </c>
      <c r="P24" s="11">
        <f t="shared" si="1"/>
        <v>900</v>
      </c>
    </row>
    <row r="25" ht="14.4" spans="1:16">
      <c r="A25" s="12"/>
      <c r="B25" s="11" t="s">
        <v>53</v>
      </c>
      <c r="C25" s="11"/>
      <c r="D25" s="11" t="s">
        <v>55</v>
      </c>
      <c r="E25" s="11">
        <v>200</v>
      </c>
      <c r="F25" s="11">
        <v>14</v>
      </c>
      <c r="G25" s="11">
        <v>0</v>
      </c>
      <c r="H25" s="11">
        <v>12</v>
      </c>
      <c r="I25" s="11">
        <v>2</v>
      </c>
      <c r="J25" s="11">
        <f t="shared" si="0"/>
        <v>400</v>
      </c>
      <c r="K25" s="11"/>
      <c r="L25" s="11">
        <v>12</v>
      </c>
      <c r="M25" s="11">
        <v>0</v>
      </c>
      <c r="N25" s="11">
        <v>11</v>
      </c>
      <c r="O25" s="11">
        <v>1</v>
      </c>
      <c r="P25" s="11">
        <f t="shared" si="1"/>
        <v>200</v>
      </c>
    </row>
    <row r="26" ht="14.4" spans="1:16">
      <c r="A26" s="12"/>
      <c r="B26" s="11" t="s">
        <v>56</v>
      </c>
      <c r="C26" s="11"/>
      <c r="D26" s="11" t="s">
        <v>55</v>
      </c>
      <c r="E26" s="11">
        <v>200</v>
      </c>
      <c r="F26" s="11">
        <v>5</v>
      </c>
      <c r="G26" s="11">
        <v>0</v>
      </c>
      <c r="H26" s="11">
        <v>4</v>
      </c>
      <c r="I26" s="11">
        <v>1</v>
      </c>
      <c r="J26" s="11">
        <f t="shared" si="0"/>
        <v>200</v>
      </c>
      <c r="K26" s="11"/>
      <c r="L26" s="11">
        <v>4</v>
      </c>
      <c r="M26" s="11">
        <v>0</v>
      </c>
      <c r="N26" s="11">
        <v>3</v>
      </c>
      <c r="O26" s="11">
        <v>1</v>
      </c>
      <c r="P26" s="11">
        <f t="shared" si="1"/>
        <v>200</v>
      </c>
    </row>
    <row r="27" ht="14.4" spans="1:16">
      <c r="A27" s="12"/>
      <c r="B27" s="11" t="s">
        <v>57</v>
      </c>
      <c r="C27" s="11"/>
      <c r="D27" s="11" t="s">
        <v>58</v>
      </c>
      <c r="E27" s="11">
        <v>270</v>
      </c>
      <c r="F27" s="11">
        <v>2</v>
      </c>
      <c r="G27" s="11">
        <v>0</v>
      </c>
      <c r="H27" s="11">
        <v>2</v>
      </c>
      <c r="I27" s="11">
        <v>0</v>
      </c>
      <c r="J27" s="11">
        <f t="shared" si="0"/>
        <v>0</v>
      </c>
      <c r="K27" s="11"/>
      <c r="L27" s="11">
        <v>2</v>
      </c>
      <c r="M27" s="11">
        <v>0</v>
      </c>
      <c r="N27" s="11">
        <v>2</v>
      </c>
      <c r="O27" s="11">
        <v>0</v>
      </c>
      <c r="P27" s="11">
        <f t="shared" si="1"/>
        <v>0</v>
      </c>
    </row>
    <row r="28" ht="14.4" spans="1:16">
      <c r="A28" s="12"/>
      <c r="B28" s="11" t="s">
        <v>57</v>
      </c>
      <c r="C28" s="11"/>
      <c r="D28" s="11" t="s">
        <v>59</v>
      </c>
      <c r="E28" s="11">
        <v>190</v>
      </c>
      <c r="F28" s="11">
        <v>13</v>
      </c>
      <c r="G28" s="11">
        <v>0</v>
      </c>
      <c r="H28" s="11">
        <v>11</v>
      </c>
      <c r="I28" s="11">
        <v>2</v>
      </c>
      <c r="J28" s="11">
        <f t="shared" si="0"/>
        <v>380</v>
      </c>
      <c r="K28" s="11"/>
      <c r="L28" s="11">
        <v>11</v>
      </c>
      <c r="M28" s="11">
        <v>0</v>
      </c>
      <c r="N28" s="11">
        <v>11</v>
      </c>
      <c r="O28" s="11">
        <v>0</v>
      </c>
      <c r="P28" s="11">
        <f t="shared" si="1"/>
        <v>0</v>
      </c>
    </row>
    <row r="29" ht="14.4" spans="1:16">
      <c r="A29" s="12"/>
      <c r="B29" s="11" t="s">
        <v>60</v>
      </c>
      <c r="C29" s="11"/>
      <c r="D29" s="11" t="s">
        <v>59</v>
      </c>
      <c r="E29" s="11">
        <v>350</v>
      </c>
      <c r="F29" s="11">
        <v>2</v>
      </c>
      <c r="G29" s="11">
        <v>0</v>
      </c>
      <c r="H29" s="11">
        <v>2</v>
      </c>
      <c r="I29" s="11">
        <v>0</v>
      </c>
      <c r="J29" s="11">
        <f t="shared" si="0"/>
        <v>0</v>
      </c>
      <c r="K29" s="11"/>
      <c r="L29" s="11">
        <v>2</v>
      </c>
      <c r="M29" s="11">
        <v>0</v>
      </c>
      <c r="N29" s="11">
        <v>2</v>
      </c>
      <c r="O29" s="11">
        <v>0</v>
      </c>
      <c r="P29" s="11">
        <f t="shared" si="1"/>
        <v>0</v>
      </c>
    </row>
    <row r="30" ht="14.4" spans="1:16">
      <c r="A30" s="12"/>
      <c r="B30" s="11" t="s">
        <v>61</v>
      </c>
      <c r="C30" s="11"/>
      <c r="D30" s="11" t="s">
        <v>55</v>
      </c>
      <c r="E30" s="11">
        <v>200</v>
      </c>
      <c r="F30" s="11">
        <v>16</v>
      </c>
      <c r="G30" s="11">
        <v>0</v>
      </c>
      <c r="H30" s="11">
        <v>15</v>
      </c>
      <c r="I30" s="11">
        <v>1</v>
      </c>
      <c r="J30" s="11">
        <f t="shared" si="0"/>
        <v>200</v>
      </c>
      <c r="K30" s="11"/>
      <c r="L30" s="11">
        <v>15</v>
      </c>
      <c r="M30" s="11">
        <v>0</v>
      </c>
      <c r="N30" s="11">
        <v>13</v>
      </c>
      <c r="O30" s="11">
        <v>2</v>
      </c>
      <c r="P30" s="11">
        <f t="shared" si="1"/>
        <v>400</v>
      </c>
    </row>
    <row r="31" ht="14.4" spans="1:16">
      <c r="A31" s="12"/>
      <c r="B31" s="11" t="s">
        <v>156</v>
      </c>
      <c r="C31" s="11"/>
      <c r="D31" s="11" t="s">
        <v>58</v>
      </c>
      <c r="E31" s="11">
        <v>350</v>
      </c>
      <c r="F31" s="11">
        <v>3</v>
      </c>
      <c r="G31" s="11">
        <v>0</v>
      </c>
      <c r="H31" s="11">
        <v>3</v>
      </c>
      <c r="I31" s="11">
        <v>0</v>
      </c>
      <c r="J31" s="11">
        <f t="shared" si="0"/>
        <v>0</v>
      </c>
      <c r="K31" s="11"/>
      <c r="L31" s="11">
        <v>3</v>
      </c>
      <c r="M31" s="11">
        <v>0</v>
      </c>
      <c r="N31" s="11">
        <v>3</v>
      </c>
      <c r="O31" s="11">
        <v>0</v>
      </c>
      <c r="P31" s="11">
        <f t="shared" si="1"/>
        <v>0</v>
      </c>
    </row>
    <row r="32" ht="14.4" spans="1:16">
      <c r="A32" s="12"/>
      <c r="B32" s="11" t="s">
        <v>62</v>
      </c>
      <c r="C32" s="11"/>
      <c r="D32" s="11" t="s">
        <v>54</v>
      </c>
      <c r="E32" s="11">
        <v>150</v>
      </c>
      <c r="F32" s="11">
        <v>20</v>
      </c>
      <c r="G32" s="11">
        <v>0</v>
      </c>
      <c r="H32" s="11">
        <v>20</v>
      </c>
      <c r="I32" s="11">
        <v>0</v>
      </c>
      <c r="J32" s="11">
        <f t="shared" si="0"/>
        <v>0</v>
      </c>
      <c r="K32" s="11"/>
      <c r="L32" s="11">
        <v>20</v>
      </c>
      <c r="M32" s="11">
        <v>0</v>
      </c>
      <c r="N32" s="11">
        <v>20</v>
      </c>
      <c r="O32" s="11">
        <v>0</v>
      </c>
      <c r="P32" s="11">
        <f t="shared" si="1"/>
        <v>0</v>
      </c>
    </row>
    <row r="33" ht="14.4" spans="1:16">
      <c r="A33" s="12"/>
      <c r="B33" s="11" t="s">
        <v>63</v>
      </c>
      <c r="C33" s="11" t="s">
        <v>64</v>
      </c>
      <c r="D33" s="11" t="s">
        <v>65</v>
      </c>
      <c r="E33" s="11">
        <v>100</v>
      </c>
      <c r="F33" s="11">
        <v>13</v>
      </c>
      <c r="G33" s="11">
        <v>0</v>
      </c>
      <c r="H33" s="11">
        <v>2</v>
      </c>
      <c r="I33" s="11">
        <v>11</v>
      </c>
      <c r="J33" s="11">
        <f t="shared" si="0"/>
        <v>1100</v>
      </c>
      <c r="K33" s="11"/>
      <c r="L33" s="11">
        <v>2</v>
      </c>
      <c r="M33" s="11">
        <v>0</v>
      </c>
      <c r="N33" s="11">
        <v>0</v>
      </c>
      <c r="O33" s="11">
        <v>2</v>
      </c>
      <c r="P33" s="11">
        <f t="shared" si="1"/>
        <v>200</v>
      </c>
    </row>
    <row r="34" ht="14.4" spans="1:16">
      <c r="A34" s="12"/>
      <c r="B34" s="11" t="s">
        <v>63</v>
      </c>
      <c r="C34" s="11" t="s">
        <v>64</v>
      </c>
      <c r="D34" s="11" t="s">
        <v>41</v>
      </c>
      <c r="E34" s="11">
        <v>150</v>
      </c>
      <c r="F34" s="11">
        <v>54</v>
      </c>
      <c r="G34" s="11">
        <v>0</v>
      </c>
      <c r="H34" s="11">
        <v>48</v>
      </c>
      <c r="I34" s="11">
        <v>4</v>
      </c>
      <c r="J34" s="11">
        <f t="shared" si="0"/>
        <v>600</v>
      </c>
      <c r="K34" s="11"/>
      <c r="L34" s="11">
        <v>48</v>
      </c>
      <c r="M34" s="11">
        <v>0</v>
      </c>
      <c r="N34" s="11">
        <v>44</v>
      </c>
      <c r="O34" s="11">
        <v>4</v>
      </c>
      <c r="P34" s="11">
        <f t="shared" si="1"/>
        <v>600</v>
      </c>
    </row>
    <row r="35" ht="14.4" spans="1:16">
      <c r="A35" s="12"/>
      <c r="B35" s="11" t="s">
        <v>63</v>
      </c>
      <c r="C35" s="11" t="s">
        <v>64</v>
      </c>
      <c r="D35" s="11" t="s">
        <v>66</v>
      </c>
      <c r="E35" s="11">
        <v>100</v>
      </c>
      <c r="F35" s="11">
        <v>43</v>
      </c>
      <c r="G35" s="11">
        <v>0</v>
      </c>
      <c r="H35" s="11">
        <v>43</v>
      </c>
      <c r="I35" s="11">
        <v>0</v>
      </c>
      <c r="J35" s="11">
        <f t="shared" si="0"/>
        <v>0</v>
      </c>
      <c r="K35" s="11"/>
      <c r="L35" s="11">
        <v>43</v>
      </c>
      <c r="M35" s="11">
        <v>0</v>
      </c>
      <c r="N35" s="11">
        <v>43</v>
      </c>
      <c r="O35" s="11">
        <v>0</v>
      </c>
      <c r="P35" s="11">
        <f t="shared" si="1"/>
        <v>0</v>
      </c>
    </row>
    <row r="36" ht="14.4" spans="1:16">
      <c r="A36" s="12"/>
      <c r="B36" s="11" t="s">
        <v>67</v>
      </c>
      <c r="C36" s="11" t="s">
        <v>68</v>
      </c>
      <c r="D36" s="11" t="s">
        <v>41</v>
      </c>
      <c r="E36" s="11">
        <v>150</v>
      </c>
      <c r="F36" s="11">
        <v>6</v>
      </c>
      <c r="G36" s="11">
        <v>0</v>
      </c>
      <c r="H36" s="11">
        <v>4</v>
      </c>
      <c r="I36" s="11">
        <v>2</v>
      </c>
      <c r="J36" s="11">
        <f t="shared" si="0"/>
        <v>300</v>
      </c>
      <c r="K36" s="11"/>
      <c r="L36" s="11">
        <v>4</v>
      </c>
      <c r="M36" s="11">
        <v>0</v>
      </c>
      <c r="N36" s="11">
        <v>3</v>
      </c>
      <c r="O36" s="11">
        <v>1</v>
      </c>
      <c r="P36" s="11">
        <f t="shared" si="1"/>
        <v>150</v>
      </c>
    </row>
    <row r="37" ht="14.4" spans="1:16">
      <c r="A37" s="12"/>
      <c r="B37" s="11" t="s">
        <v>69</v>
      </c>
      <c r="C37" s="11" t="s">
        <v>68</v>
      </c>
      <c r="D37" s="11" t="s">
        <v>66</v>
      </c>
      <c r="E37" s="11">
        <v>200</v>
      </c>
      <c r="F37" s="11">
        <v>10</v>
      </c>
      <c r="G37" s="11">
        <v>0</v>
      </c>
      <c r="H37" s="11">
        <v>10</v>
      </c>
      <c r="I37" s="11">
        <v>0</v>
      </c>
      <c r="J37" s="11">
        <f t="shared" si="0"/>
        <v>0</v>
      </c>
      <c r="K37" s="11"/>
      <c r="L37" s="11">
        <v>10</v>
      </c>
      <c r="M37" s="11">
        <v>0</v>
      </c>
      <c r="N37" s="11">
        <v>10</v>
      </c>
      <c r="O37" s="11">
        <v>0</v>
      </c>
      <c r="P37" s="11">
        <f t="shared" si="1"/>
        <v>0</v>
      </c>
    </row>
    <row r="38" ht="14.4" spans="1:16">
      <c r="A38" s="12"/>
      <c r="B38" s="11" t="s">
        <v>70</v>
      </c>
      <c r="C38" s="11"/>
      <c r="D38" s="11" t="s">
        <v>58</v>
      </c>
      <c r="E38" s="11">
        <v>300</v>
      </c>
      <c r="F38" s="11">
        <v>5</v>
      </c>
      <c r="G38" s="11">
        <v>12</v>
      </c>
      <c r="H38" s="11">
        <v>17</v>
      </c>
      <c r="I38" s="11">
        <v>0</v>
      </c>
      <c r="J38" s="11">
        <f t="shared" si="0"/>
        <v>0</v>
      </c>
      <c r="K38" s="11"/>
      <c r="L38" s="11">
        <v>17</v>
      </c>
      <c r="M38" s="11">
        <v>0</v>
      </c>
      <c r="N38" s="11">
        <v>15</v>
      </c>
      <c r="O38" s="11">
        <v>2</v>
      </c>
      <c r="P38" s="11">
        <f t="shared" si="1"/>
        <v>600</v>
      </c>
    </row>
    <row r="39" ht="14.4" spans="1:16">
      <c r="A39" s="12"/>
      <c r="B39" s="11" t="s">
        <v>70</v>
      </c>
      <c r="C39" s="11"/>
      <c r="D39" s="11" t="s">
        <v>59</v>
      </c>
      <c r="E39" s="11">
        <v>200</v>
      </c>
      <c r="F39" s="11">
        <v>0</v>
      </c>
      <c r="G39" s="11">
        <v>12</v>
      </c>
      <c r="H39" s="11">
        <v>11</v>
      </c>
      <c r="I39" s="11">
        <v>1</v>
      </c>
      <c r="J39" s="11">
        <f t="shared" ref="J39:J64" si="2">E39*I39</f>
        <v>200</v>
      </c>
      <c r="K39" s="11"/>
      <c r="L39" s="11">
        <v>11</v>
      </c>
      <c r="M39" s="11">
        <v>0</v>
      </c>
      <c r="N39" s="11">
        <v>6</v>
      </c>
      <c r="O39" s="11">
        <v>5</v>
      </c>
      <c r="P39" s="11">
        <f t="shared" ref="P39:P64" si="3">E39*O39</f>
        <v>1000</v>
      </c>
    </row>
    <row r="40" ht="14.4" spans="1:16">
      <c r="A40" s="13"/>
      <c r="B40" s="11" t="s">
        <v>71</v>
      </c>
      <c r="C40" s="11"/>
      <c r="D40" s="11" t="s">
        <v>58</v>
      </c>
      <c r="E40" s="11">
        <v>250</v>
      </c>
      <c r="F40" s="11">
        <v>4</v>
      </c>
      <c r="G40" s="11">
        <v>0</v>
      </c>
      <c r="H40" s="11">
        <v>4</v>
      </c>
      <c r="I40" s="11">
        <v>0</v>
      </c>
      <c r="J40" s="11">
        <f t="shared" si="2"/>
        <v>0</v>
      </c>
      <c r="K40" s="11"/>
      <c r="L40" s="11">
        <v>4</v>
      </c>
      <c r="M40" s="11">
        <v>0</v>
      </c>
      <c r="N40" s="11">
        <v>4</v>
      </c>
      <c r="O40" s="11">
        <v>0</v>
      </c>
      <c r="P40" s="11">
        <f t="shared" si="3"/>
        <v>0</v>
      </c>
    </row>
    <row r="41" ht="14.4" spans="1:16">
      <c r="A41" s="3" t="s">
        <v>72</v>
      </c>
      <c r="B41" s="11" t="s">
        <v>73</v>
      </c>
      <c r="C41" s="11" t="s">
        <v>74</v>
      </c>
      <c r="D41" s="11" t="s">
        <v>75</v>
      </c>
      <c r="E41" s="11">
        <v>200</v>
      </c>
      <c r="F41" s="11">
        <v>2</v>
      </c>
      <c r="G41" s="11">
        <v>12</v>
      </c>
      <c r="H41" s="11">
        <v>13</v>
      </c>
      <c r="I41" s="11">
        <v>1</v>
      </c>
      <c r="J41" s="11">
        <f t="shared" si="2"/>
        <v>200</v>
      </c>
      <c r="K41" s="11"/>
      <c r="L41" s="11">
        <v>13</v>
      </c>
      <c r="M41" s="11">
        <v>0</v>
      </c>
      <c r="N41" s="11">
        <v>12</v>
      </c>
      <c r="O41" s="11">
        <v>1</v>
      </c>
      <c r="P41" s="11">
        <f t="shared" si="3"/>
        <v>200</v>
      </c>
    </row>
    <row r="42" ht="14.4" spans="1:16">
      <c r="A42" s="13"/>
      <c r="B42" s="11" t="s">
        <v>76</v>
      </c>
      <c r="C42" s="11"/>
      <c r="D42" s="11" t="s">
        <v>157</v>
      </c>
      <c r="E42" s="11">
        <v>1000</v>
      </c>
      <c r="F42" s="11">
        <v>0</v>
      </c>
      <c r="G42" s="11">
        <v>6</v>
      </c>
      <c r="H42" s="11">
        <v>6</v>
      </c>
      <c r="I42" s="11">
        <v>0</v>
      </c>
      <c r="J42" s="11">
        <f t="shared" si="2"/>
        <v>0</v>
      </c>
      <c r="K42" s="11"/>
      <c r="L42" s="11">
        <v>6</v>
      </c>
      <c r="M42" s="11">
        <v>0</v>
      </c>
      <c r="N42" s="11">
        <v>6</v>
      </c>
      <c r="O42" s="11">
        <v>0</v>
      </c>
      <c r="P42" s="11">
        <f t="shared" si="3"/>
        <v>0</v>
      </c>
    </row>
    <row r="43" ht="14.4" spans="1:16">
      <c r="A43" s="3" t="s">
        <v>77</v>
      </c>
      <c r="B43" s="11" t="s">
        <v>78</v>
      </c>
      <c r="C43" s="11" t="s">
        <v>79</v>
      </c>
      <c r="D43" s="11" t="s">
        <v>65</v>
      </c>
      <c r="E43" s="11">
        <v>170</v>
      </c>
      <c r="F43" s="11">
        <v>0</v>
      </c>
      <c r="G43" s="11">
        <v>0</v>
      </c>
      <c r="H43" s="11">
        <v>0</v>
      </c>
      <c r="I43" s="11">
        <v>0</v>
      </c>
      <c r="J43" s="11">
        <f t="shared" si="2"/>
        <v>0</v>
      </c>
      <c r="K43" s="11"/>
      <c r="L43" s="11">
        <v>0</v>
      </c>
      <c r="M43" s="11">
        <v>0</v>
      </c>
      <c r="N43" s="11">
        <v>0</v>
      </c>
      <c r="O43" s="11">
        <v>0</v>
      </c>
      <c r="P43" s="11">
        <f t="shared" si="3"/>
        <v>0</v>
      </c>
    </row>
    <row r="44" ht="14.4" spans="1:16">
      <c r="A44" s="6"/>
      <c r="B44" s="11" t="s">
        <v>78</v>
      </c>
      <c r="C44" s="11" t="s">
        <v>79</v>
      </c>
      <c r="D44" s="11" t="s">
        <v>41</v>
      </c>
      <c r="E44" s="11">
        <v>250</v>
      </c>
      <c r="F44" s="11">
        <v>7</v>
      </c>
      <c r="G44" s="11">
        <v>0</v>
      </c>
      <c r="H44" s="11">
        <v>6</v>
      </c>
      <c r="I44" s="11">
        <v>1</v>
      </c>
      <c r="J44" s="11">
        <f t="shared" si="2"/>
        <v>250</v>
      </c>
      <c r="K44" s="11"/>
      <c r="L44" s="11">
        <v>10</v>
      </c>
      <c r="M44" s="11">
        <v>0</v>
      </c>
      <c r="N44" s="11">
        <v>10</v>
      </c>
      <c r="O44" s="11">
        <v>0</v>
      </c>
      <c r="P44" s="11">
        <f t="shared" si="3"/>
        <v>0</v>
      </c>
    </row>
    <row r="45" ht="14.4" spans="1:16">
      <c r="A45" s="6"/>
      <c r="B45" s="11" t="s">
        <v>80</v>
      </c>
      <c r="C45" s="11" t="s">
        <v>79</v>
      </c>
      <c r="D45" s="11" t="s">
        <v>81</v>
      </c>
      <c r="E45" s="11">
        <v>130</v>
      </c>
      <c r="F45" s="11">
        <v>2</v>
      </c>
      <c r="G45" s="11">
        <v>0</v>
      </c>
      <c r="H45" s="11">
        <v>1</v>
      </c>
      <c r="I45" s="11">
        <v>1</v>
      </c>
      <c r="J45" s="11">
        <f t="shared" si="2"/>
        <v>130</v>
      </c>
      <c r="K45" s="11"/>
      <c r="L45" s="11">
        <v>1</v>
      </c>
      <c r="M45" s="11">
        <v>0</v>
      </c>
      <c r="N45" s="11">
        <v>1</v>
      </c>
      <c r="O45" s="11">
        <v>0</v>
      </c>
      <c r="P45" s="11">
        <f t="shared" si="3"/>
        <v>0</v>
      </c>
    </row>
    <row r="46" ht="14.4" spans="1:16">
      <c r="A46" s="6"/>
      <c r="B46" s="11" t="s">
        <v>80</v>
      </c>
      <c r="C46" s="11" t="s">
        <v>79</v>
      </c>
      <c r="D46" s="11" t="s">
        <v>82</v>
      </c>
      <c r="E46" s="11">
        <v>250</v>
      </c>
      <c r="F46" s="11">
        <v>3</v>
      </c>
      <c r="G46" s="11">
        <v>0</v>
      </c>
      <c r="H46" s="11">
        <v>3</v>
      </c>
      <c r="I46">
        <v>0</v>
      </c>
      <c r="J46" s="11">
        <f t="shared" si="2"/>
        <v>0</v>
      </c>
      <c r="K46" s="11"/>
      <c r="L46" s="11">
        <v>3</v>
      </c>
      <c r="M46" s="11">
        <v>0</v>
      </c>
      <c r="N46" s="11">
        <v>3</v>
      </c>
      <c r="O46" s="11">
        <v>0</v>
      </c>
      <c r="P46" s="11">
        <f t="shared" si="3"/>
        <v>0</v>
      </c>
    </row>
    <row r="47" ht="14.4" spans="1:16">
      <c r="A47" s="6"/>
      <c r="B47" s="11" t="s">
        <v>83</v>
      </c>
      <c r="C47" s="11" t="s">
        <v>84</v>
      </c>
      <c r="D47" s="11" t="s">
        <v>85</v>
      </c>
      <c r="E47" s="11">
        <v>150</v>
      </c>
      <c r="F47" s="11">
        <v>2</v>
      </c>
      <c r="G47" s="11">
        <v>0</v>
      </c>
      <c r="H47" s="11">
        <v>2</v>
      </c>
      <c r="I47" s="11">
        <v>0</v>
      </c>
      <c r="J47" s="11">
        <f t="shared" si="2"/>
        <v>0</v>
      </c>
      <c r="K47" s="11"/>
      <c r="L47" s="11">
        <v>2</v>
      </c>
      <c r="M47" s="11">
        <v>0</v>
      </c>
      <c r="N47" s="11">
        <v>2</v>
      </c>
      <c r="O47" s="11">
        <v>0</v>
      </c>
      <c r="P47" s="11">
        <f t="shared" si="3"/>
        <v>0</v>
      </c>
    </row>
    <row r="48" ht="14.4" spans="1:16">
      <c r="A48" s="6"/>
      <c r="B48" s="11" t="s">
        <v>86</v>
      </c>
      <c r="C48" s="11"/>
      <c r="D48" s="11" t="s">
        <v>33</v>
      </c>
      <c r="E48" s="11">
        <v>100</v>
      </c>
      <c r="F48" s="11">
        <v>0</v>
      </c>
      <c r="G48" s="11">
        <v>0</v>
      </c>
      <c r="H48" s="11">
        <v>0</v>
      </c>
      <c r="I48" s="11">
        <v>0</v>
      </c>
      <c r="J48" s="11">
        <f t="shared" si="2"/>
        <v>0</v>
      </c>
      <c r="K48" s="11"/>
      <c r="L48" s="11">
        <v>0</v>
      </c>
      <c r="M48" s="11">
        <v>0</v>
      </c>
      <c r="N48" s="11">
        <v>0</v>
      </c>
      <c r="O48" s="11">
        <v>0</v>
      </c>
      <c r="P48" s="11">
        <f t="shared" si="3"/>
        <v>0</v>
      </c>
    </row>
    <row r="49" ht="14.4" spans="1:16">
      <c r="A49" s="6"/>
      <c r="B49" s="11" t="s">
        <v>86</v>
      </c>
      <c r="C49" s="11"/>
      <c r="D49" s="11" t="s">
        <v>82</v>
      </c>
      <c r="E49" s="11">
        <v>250</v>
      </c>
      <c r="F49" s="11">
        <v>9</v>
      </c>
      <c r="G49" s="11">
        <v>0</v>
      </c>
      <c r="H49" s="11">
        <v>9</v>
      </c>
      <c r="I49" s="11">
        <v>0</v>
      </c>
      <c r="J49" s="11">
        <f t="shared" si="2"/>
        <v>0</v>
      </c>
      <c r="K49" s="11"/>
      <c r="L49" s="11">
        <v>9</v>
      </c>
      <c r="M49" s="11">
        <v>0</v>
      </c>
      <c r="N49" s="11">
        <v>8</v>
      </c>
      <c r="O49" s="11">
        <v>1</v>
      </c>
      <c r="P49" s="11">
        <f t="shared" si="3"/>
        <v>250</v>
      </c>
    </row>
    <row r="50" ht="14.4" spans="1:16">
      <c r="A50" s="6"/>
      <c r="B50" s="11" t="s">
        <v>87</v>
      </c>
      <c r="C50" s="11"/>
      <c r="D50" s="11" t="s">
        <v>49</v>
      </c>
      <c r="E50" s="11">
        <v>150</v>
      </c>
      <c r="F50" s="11">
        <v>5</v>
      </c>
      <c r="G50" s="11">
        <v>0</v>
      </c>
      <c r="H50" s="11">
        <v>2</v>
      </c>
      <c r="I50" s="11">
        <v>3</v>
      </c>
      <c r="J50" s="11">
        <f t="shared" si="2"/>
        <v>450</v>
      </c>
      <c r="K50" s="11"/>
      <c r="L50" s="11">
        <v>2</v>
      </c>
      <c r="M50" s="11">
        <v>0</v>
      </c>
      <c r="N50" s="11">
        <v>0</v>
      </c>
      <c r="O50" s="11">
        <v>2</v>
      </c>
      <c r="P50" s="11">
        <f t="shared" si="3"/>
        <v>300</v>
      </c>
    </row>
    <row r="51" ht="14.4" spans="1:16">
      <c r="A51" s="6"/>
      <c r="B51" s="11" t="s">
        <v>88</v>
      </c>
      <c r="C51" s="11"/>
      <c r="D51" s="11" t="s">
        <v>82</v>
      </c>
      <c r="E51" s="11">
        <v>300</v>
      </c>
      <c r="F51" s="11">
        <v>4</v>
      </c>
      <c r="G51" s="11">
        <v>0</v>
      </c>
      <c r="H51" s="11">
        <v>2</v>
      </c>
      <c r="I51" s="11">
        <v>2</v>
      </c>
      <c r="J51" s="11">
        <f t="shared" si="2"/>
        <v>600</v>
      </c>
      <c r="K51" s="11"/>
      <c r="L51" s="11">
        <v>2</v>
      </c>
      <c r="M51" s="11">
        <v>0</v>
      </c>
      <c r="N51" s="11">
        <v>0</v>
      </c>
      <c r="O51" s="11">
        <v>2</v>
      </c>
      <c r="P51" s="11">
        <f t="shared" si="3"/>
        <v>600</v>
      </c>
    </row>
    <row r="52" ht="14.4" spans="1:16">
      <c r="A52" s="9"/>
      <c r="B52" s="11" t="s">
        <v>89</v>
      </c>
      <c r="C52" s="11"/>
      <c r="D52" s="11" t="s">
        <v>90</v>
      </c>
      <c r="E52" s="11">
        <v>430</v>
      </c>
      <c r="F52" s="11">
        <v>6</v>
      </c>
      <c r="G52" s="11">
        <v>0</v>
      </c>
      <c r="H52" s="11">
        <v>6</v>
      </c>
      <c r="I52" s="11">
        <v>1</v>
      </c>
      <c r="J52" s="11">
        <f t="shared" si="2"/>
        <v>430</v>
      </c>
      <c r="K52" s="11"/>
      <c r="L52" s="11">
        <v>5</v>
      </c>
      <c r="M52" s="11">
        <v>0</v>
      </c>
      <c r="N52" s="11">
        <v>5</v>
      </c>
      <c r="O52" s="11">
        <v>0</v>
      </c>
      <c r="P52" s="11">
        <f t="shared" si="3"/>
        <v>0</v>
      </c>
    </row>
    <row r="53" ht="14.4" spans="1:16">
      <c r="A53" s="3" t="s">
        <v>91</v>
      </c>
      <c r="B53" s="11" t="s">
        <v>92</v>
      </c>
      <c r="C53" s="11" t="s">
        <v>93</v>
      </c>
      <c r="D53" s="11" t="s">
        <v>94</v>
      </c>
      <c r="E53" s="11">
        <v>300</v>
      </c>
      <c r="F53" s="11">
        <v>5</v>
      </c>
      <c r="G53" s="11">
        <v>0</v>
      </c>
      <c r="H53" s="11">
        <v>5</v>
      </c>
      <c r="I53" s="11">
        <v>0</v>
      </c>
      <c r="J53" s="11">
        <f t="shared" si="2"/>
        <v>0</v>
      </c>
      <c r="K53" s="11"/>
      <c r="L53" s="11">
        <v>5</v>
      </c>
      <c r="M53" s="11">
        <v>0</v>
      </c>
      <c r="N53" s="11">
        <v>5</v>
      </c>
      <c r="O53" s="11">
        <v>0</v>
      </c>
      <c r="P53" s="11">
        <f t="shared" si="3"/>
        <v>0</v>
      </c>
    </row>
    <row r="54" ht="14.4" spans="1:16">
      <c r="A54" s="6"/>
      <c r="B54" s="11" t="s">
        <v>95</v>
      </c>
      <c r="C54" s="11" t="s">
        <v>96</v>
      </c>
      <c r="D54" s="11" t="s">
        <v>94</v>
      </c>
      <c r="E54" s="11">
        <v>50</v>
      </c>
      <c r="F54" s="11">
        <v>2</v>
      </c>
      <c r="G54" s="11">
        <v>0</v>
      </c>
      <c r="H54" s="11">
        <v>2</v>
      </c>
      <c r="I54" s="11">
        <v>0</v>
      </c>
      <c r="J54" s="11">
        <f t="shared" si="2"/>
        <v>0</v>
      </c>
      <c r="K54" s="11"/>
      <c r="L54" s="11">
        <v>2</v>
      </c>
      <c r="M54" s="11">
        <v>0</v>
      </c>
      <c r="N54" s="11">
        <v>0</v>
      </c>
      <c r="O54" s="11">
        <v>2</v>
      </c>
      <c r="P54" s="11">
        <f t="shared" si="3"/>
        <v>100</v>
      </c>
    </row>
    <row r="55" ht="14.4" spans="1:16">
      <c r="A55" s="6"/>
      <c r="B55" s="11" t="s">
        <v>97</v>
      </c>
      <c r="C55" s="11" t="s">
        <v>98</v>
      </c>
      <c r="D55" s="11" t="s">
        <v>19</v>
      </c>
      <c r="E55" s="11">
        <v>350</v>
      </c>
      <c r="F55" s="11">
        <v>5</v>
      </c>
      <c r="G55" s="11">
        <v>0</v>
      </c>
      <c r="H55" s="11">
        <v>5</v>
      </c>
      <c r="I55" s="11">
        <v>0</v>
      </c>
      <c r="J55" s="11">
        <f t="shared" si="2"/>
        <v>0</v>
      </c>
      <c r="K55" s="11"/>
      <c r="L55" s="11">
        <v>5</v>
      </c>
      <c r="M55" s="11">
        <v>0</v>
      </c>
      <c r="N55" s="11">
        <v>5</v>
      </c>
      <c r="O55" s="11">
        <v>0</v>
      </c>
      <c r="P55" s="11">
        <f t="shared" si="3"/>
        <v>0</v>
      </c>
    </row>
    <row r="56" ht="14.4" spans="1:16">
      <c r="A56" s="9"/>
      <c r="B56" s="11" t="s">
        <v>99</v>
      </c>
      <c r="C56" s="11" t="s">
        <v>100</v>
      </c>
      <c r="D56" s="11" t="s">
        <v>94</v>
      </c>
      <c r="E56" s="11">
        <v>150</v>
      </c>
      <c r="F56" s="11">
        <v>0</v>
      </c>
      <c r="G56" s="11">
        <v>0</v>
      </c>
      <c r="H56" s="11">
        <v>0</v>
      </c>
      <c r="I56" s="11">
        <v>0</v>
      </c>
      <c r="J56" s="11">
        <f t="shared" si="2"/>
        <v>0</v>
      </c>
      <c r="K56" s="11"/>
      <c r="L56" s="11">
        <v>0</v>
      </c>
      <c r="M56" s="11">
        <v>0</v>
      </c>
      <c r="N56" s="11">
        <v>0</v>
      </c>
      <c r="O56" s="11">
        <v>0</v>
      </c>
      <c r="P56" s="11">
        <f t="shared" si="3"/>
        <v>0</v>
      </c>
    </row>
    <row r="57" ht="14.4" spans="1:16">
      <c r="A57" s="3" t="s">
        <v>101</v>
      </c>
      <c r="B57" s="11" t="s">
        <v>102</v>
      </c>
      <c r="C57" s="11" t="s">
        <v>103</v>
      </c>
      <c r="D57" s="11" t="s">
        <v>49</v>
      </c>
      <c r="E57" s="11">
        <v>100</v>
      </c>
      <c r="F57" s="11">
        <v>3</v>
      </c>
      <c r="G57" s="11">
        <v>0</v>
      </c>
      <c r="H57" s="11">
        <v>1</v>
      </c>
      <c r="I57" s="11">
        <v>2</v>
      </c>
      <c r="J57" s="11">
        <f t="shared" si="2"/>
        <v>200</v>
      </c>
      <c r="K57" s="11"/>
      <c r="L57" s="11">
        <v>1</v>
      </c>
      <c r="M57" s="11">
        <v>0</v>
      </c>
      <c r="N57" s="11">
        <v>0</v>
      </c>
      <c r="O57" s="11">
        <v>1</v>
      </c>
      <c r="P57" s="11">
        <f t="shared" si="3"/>
        <v>100</v>
      </c>
    </row>
    <row r="58" ht="14.4" spans="1:16">
      <c r="A58" s="9"/>
      <c r="B58" s="11" t="s">
        <v>105</v>
      </c>
      <c r="C58" s="11" t="s">
        <v>103</v>
      </c>
      <c r="D58" s="11" t="s">
        <v>162</v>
      </c>
      <c r="E58" s="11">
        <v>150</v>
      </c>
      <c r="F58" s="11">
        <v>7</v>
      </c>
      <c r="G58" s="11">
        <v>0</v>
      </c>
      <c r="H58" s="11">
        <v>6</v>
      </c>
      <c r="I58" s="11">
        <v>1</v>
      </c>
      <c r="J58" s="11">
        <f t="shared" si="2"/>
        <v>150</v>
      </c>
      <c r="K58" s="11"/>
      <c r="L58" s="11">
        <v>6</v>
      </c>
      <c r="M58" s="11">
        <v>0</v>
      </c>
      <c r="N58" s="11">
        <v>4</v>
      </c>
      <c r="O58" s="11">
        <v>2</v>
      </c>
      <c r="P58" s="11">
        <f t="shared" si="3"/>
        <v>300</v>
      </c>
    </row>
    <row r="59" ht="14.4" spans="1:16">
      <c r="A59" s="3" t="s">
        <v>106</v>
      </c>
      <c r="B59" s="11" t="s">
        <v>107</v>
      </c>
      <c r="C59" s="11"/>
      <c r="D59" s="11" t="s">
        <v>108</v>
      </c>
      <c r="E59" s="11">
        <v>350</v>
      </c>
      <c r="F59" s="11">
        <v>4</v>
      </c>
      <c r="G59" s="11">
        <v>0</v>
      </c>
      <c r="H59" s="11">
        <v>2</v>
      </c>
      <c r="I59" s="11">
        <v>2</v>
      </c>
      <c r="J59" s="11">
        <f t="shared" si="2"/>
        <v>700</v>
      </c>
      <c r="K59" s="11"/>
      <c r="L59" s="11">
        <v>2</v>
      </c>
      <c r="M59" s="11">
        <v>0</v>
      </c>
      <c r="N59" s="11">
        <v>1</v>
      </c>
      <c r="O59" s="11">
        <v>1</v>
      </c>
      <c r="P59" s="11">
        <f t="shared" si="3"/>
        <v>350</v>
      </c>
    </row>
    <row r="60" ht="14.4" spans="1:16">
      <c r="A60" s="6"/>
      <c r="B60" s="11"/>
      <c r="C60" s="11"/>
      <c r="D60" s="11" t="s">
        <v>109</v>
      </c>
      <c r="E60" s="11">
        <v>430</v>
      </c>
      <c r="F60" s="11">
        <v>9</v>
      </c>
      <c r="G60">
        <v>0</v>
      </c>
      <c r="H60" s="11">
        <v>9</v>
      </c>
      <c r="I60" s="11">
        <v>0</v>
      </c>
      <c r="J60" s="11">
        <f t="shared" si="2"/>
        <v>0</v>
      </c>
      <c r="K60" s="11"/>
      <c r="L60" s="11">
        <v>9</v>
      </c>
      <c r="M60" s="11">
        <v>0</v>
      </c>
      <c r="N60" s="11">
        <v>8</v>
      </c>
      <c r="O60" s="11">
        <v>1</v>
      </c>
      <c r="P60" s="11">
        <f t="shared" si="3"/>
        <v>430</v>
      </c>
    </row>
    <row r="61" ht="14.4" spans="1:16">
      <c r="A61" s="9"/>
      <c r="B61" s="11"/>
      <c r="C61" s="11"/>
      <c r="D61" s="11" t="s">
        <v>110</v>
      </c>
      <c r="E61" s="11">
        <v>750</v>
      </c>
      <c r="F61" s="11">
        <v>6</v>
      </c>
      <c r="G61" s="11">
        <v>0</v>
      </c>
      <c r="H61" s="11">
        <v>6</v>
      </c>
      <c r="I61" s="11">
        <v>0</v>
      </c>
      <c r="J61" s="11">
        <f t="shared" si="2"/>
        <v>0</v>
      </c>
      <c r="K61" s="11"/>
      <c r="L61" s="11">
        <v>6</v>
      </c>
      <c r="M61" s="11">
        <v>0</v>
      </c>
      <c r="N61" s="11">
        <v>6</v>
      </c>
      <c r="O61" s="11">
        <v>0</v>
      </c>
      <c r="P61" s="11">
        <f t="shared" si="3"/>
        <v>0</v>
      </c>
    </row>
    <row r="62" ht="14.4" spans="1:16">
      <c r="A62" s="3" t="s">
        <v>145</v>
      </c>
      <c r="B62" s="11"/>
      <c r="C62" s="11"/>
      <c r="D62" s="11" t="s">
        <v>108</v>
      </c>
      <c r="E62" s="11">
        <v>350</v>
      </c>
      <c r="F62" s="11">
        <v>6</v>
      </c>
      <c r="G62" s="11">
        <v>0</v>
      </c>
      <c r="H62" s="11">
        <v>4</v>
      </c>
      <c r="I62" s="11">
        <v>2</v>
      </c>
      <c r="J62" s="11">
        <f t="shared" si="2"/>
        <v>700</v>
      </c>
      <c r="K62" s="11"/>
      <c r="L62" s="11">
        <v>4</v>
      </c>
      <c r="M62" s="11">
        <v>0</v>
      </c>
      <c r="N62" s="11">
        <v>3</v>
      </c>
      <c r="O62" s="11">
        <v>1</v>
      </c>
      <c r="P62" s="11">
        <f t="shared" si="3"/>
        <v>350</v>
      </c>
    </row>
    <row r="63" ht="14.4" spans="1:16">
      <c r="A63" s="6"/>
      <c r="B63" s="11"/>
      <c r="C63" s="11"/>
      <c r="D63" s="11" t="s">
        <v>109</v>
      </c>
      <c r="E63" s="11">
        <v>430</v>
      </c>
      <c r="F63" s="11">
        <v>6</v>
      </c>
      <c r="G63" s="11">
        <v>0</v>
      </c>
      <c r="H63" s="11">
        <v>6</v>
      </c>
      <c r="I63" s="11">
        <v>0</v>
      </c>
      <c r="J63" s="11">
        <f t="shared" si="2"/>
        <v>0</v>
      </c>
      <c r="K63" s="11"/>
      <c r="L63" s="11">
        <v>6</v>
      </c>
      <c r="M63" s="11">
        <v>0</v>
      </c>
      <c r="N63" s="11">
        <v>5</v>
      </c>
      <c r="O63" s="11">
        <v>1</v>
      </c>
      <c r="P63" s="11">
        <f t="shared" si="3"/>
        <v>430</v>
      </c>
    </row>
    <row r="64" ht="14.4" spans="1:16">
      <c r="A64" s="9"/>
      <c r="B64" s="11"/>
      <c r="C64" s="11"/>
      <c r="D64" s="11" t="s">
        <v>146</v>
      </c>
      <c r="E64" s="11">
        <v>750</v>
      </c>
      <c r="F64" s="11">
        <v>5</v>
      </c>
      <c r="G64" s="11">
        <v>0</v>
      </c>
      <c r="H64" s="11">
        <v>5</v>
      </c>
      <c r="I64" s="11">
        <v>0</v>
      </c>
      <c r="J64" s="11">
        <f t="shared" si="2"/>
        <v>0</v>
      </c>
      <c r="K64" s="11"/>
      <c r="L64" s="11">
        <v>5</v>
      </c>
      <c r="M64" s="11">
        <v>0</v>
      </c>
      <c r="N64" s="11">
        <v>5</v>
      </c>
      <c r="O64" s="11">
        <v>0</v>
      </c>
      <c r="P64" s="11">
        <f t="shared" si="3"/>
        <v>0</v>
      </c>
    </row>
    <row r="65" ht="14.4" spans="1:16">
      <c r="A65" s="14" t="s">
        <v>151</v>
      </c>
      <c r="B65" s="11"/>
      <c r="C65" s="11"/>
      <c r="D65" s="11"/>
      <c r="E65" s="11"/>
      <c r="F65" s="11"/>
      <c r="G65" s="11"/>
      <c r="H65" s="11"/>
      <c r="I65" s="11"/>
      <c r="J65" s="14">
        <v>11370</v>
      </c>
      <c r="K65" s="11"/>
      <c r="L65" s="11"/>
      <c r="M65" s="11"/>
      <c r="N65" s="11"/>
      <c r="O65" s="11"/>
      <c r="P65" s="15">
        <f>SUM(P6:P64)</f>
        <v>8950</v>
      </c>
    </row>
    <row r="66" ht="14.4" spans="1:1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</row>
    <row r="67" ht="14.4" spans="1:1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</row>
    <row r="68" ht="14.4" spans="1:1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</row>
    <row r="69" ht="14.4" spans="1:1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ht="14.4" spans="1:1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ht="14.4" spans="1:1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ht="14.4" spans="1:1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ht="14.4" spans="1:1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ht="14.4" spans="1:1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ht="14.4" spans="1:16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ht="14.4" spans="1:1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  <row r="77" ht="14.4" spans="1:16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</row>
    <row r="78" ht="14.4" spans="1:16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</row>
    <row r="79" ht="14.4" spans="1:16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</row>
    <row r="80" ht="14.4" spans="1:16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</row>
    <row r="81" ht="14.4" spans="1:16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</row>
    <row r="82" ht="14.4" spans="1:16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</row>
    <row r="83" ht="14.4" spans="1:16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ht="14.4" spans="1:16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</row>
    <row r="85" ht="14.4" spans="1:16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</row>
    <row r="86" ht="14.4" spans="1:1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</row>
  </sheetData>
  <mergeCells count="29">
    <mergeCell ref="A4:A5"/>
    <mergeCell ref="A6:A15"/>
    <mergeCell ref="A16:A23"/>
    <mergeCell ref="A24:A40"/>
    <mergeCell ref="A41:A42"/>
    <mergeCell ref="A43:A52"/>
    <mergeCell ref="A53:A56"/>
    <mergeCell ref="A57:A58"/>
    <mergeCell ref="A59:A61"/>
    <mergeCell ref="A62:A64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L4:L5"/>
    <mergeCell ref="M1:M3"/>
    <mergeCell ref="M4:M5"/>
    <mergeCell ref="N1:N3"/>
    <mergeCell ref="N4:N5"/>
    <mergeCell ref="O1:O3"/>
    <mergeCell ref="O4:O5"/>
    <mergeCell ref="P1:P3"/>
    <mergeCell ref="P4:P5"/>
    <mergeCell ref="A1:L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6"/>
  <sheetViews>
    <sheetView topLeftCell="A10" workbookViewId="0">
      <selection activeCell="A6" sqref="$A1:$XFD1048576"/>
    </sheetView>
  </sheetViews>
  <sheetFormatPr defaultColWidth="8.75" defaultRowHeight="13.8"/>
  <cols>
    <col min="1" max="1" width="14.125" customWidth="1"/>
    <col min="2" max="2" width="21" customWidth="1"/>
    <col min="3" max="3" width="24.75" customWidth="1"/>
    <col min="4" max="5" width="9.125" customWidth="1"/>
    <col min="6" max="6" width="30.5" customWidth="1"/>
    <col min="7" max="7" width="16.125" customWidth="1"/>
    <col min="8" max="8" width="31.25" customWidth="1"/>
    <col min="9" max="9" width="13.75" customWidth="1"/>
    <col min="10" max="10" width="13.25" customWidth="1"/>
    <col min="11" max="11" width="9.125" customWidth="1"/>
    <col min="12" max="12" width="31.125" customWidth="1"/>
    <col min="13" max="13" width="22.625" customWidth="1"/>
    <col min="14" max="14" width="30.25" customWidth="1"/>
    <col min="15" max="15" width="16.625" customWidth="1"/>
    <col min="16" max="16" width="19.875" customWidth="1"/>
  </cols>
  <sheetData>
    <row r="1" ht="14.45" customHeight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  <c r="N1" s="3"/>
      <c r="O1" s="3"/>
      <c r="P1" s="3"/>
    </row>
    <row r="2" ht="14.45" customHeight="1" spans="1:1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6"/>
      <c r="N2" s="6"/>
      <c r="O2" s="6"/>
      <c r="P2" s="6"/>
    </row>
    <row r="3" ht="14.45" customHeight="1" spans="1:16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8"/>
      <c r="M3" s="9"/>
      <c r="N3" s="9"/>
      <c r="O3" s="9"/>
      <c r="P3" s="9"/>
    </row>
    <row r="4" ht="14.4" spans="1:16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163</v>
      </c>
      <c r="G4" s="10" t="s">
        <v>8</v>
      </c>
      <c r="H4" s="10" t="s">
        <v>164</v>
      </c>
      <c r="I4" s="10" t="s">
        <v>10</v>
      </c>
      <c r="J4" s="10" t="s">
        <v>11</v>
      </c>
      <c r="K4" s="11"/>
      <c r="L4" s="10" t="s">
        <v>165</v>
      </c>
      <c r="M4" s="10" t="s">
        <v>8</v>
      </c>
      <c r="N4" s="10" t="s">
        <v>166</v>
      </c>
      <c r="O4" s="10" t="s">
        <v>14</v>
      </c>
      <c r="P4" s="10" t="s">
        <v>15</v>
      </c>
    </row>
    <row r="5" ht="14.4" spans="1:16">
      <c r="A5" s="9"/>
      <c r="B5" s="9"/>
      <c r="C5" s="9"/>
      <c r="D5" s="9"/>
      <c r="E5" s="9"/>
      <c r="F5" s="9"/>
      <c r="G5" s="9"/>
      <c r="H5" s="9"/>
      <c r="I5" s="9"/>
      <c r="J5" s="9"/>
      <c r="K5" s="11"/>
      <c r="L5" s="9"/>
      <c r="M5" s="9"/>
      <c r="N5" s="9"/>
      <c r="O5" s="9"/>
      <c r="P5" s="9"/>
    </row>
    <row r="6" ht="14.4" spans="1:16">
      <c r="A6" s="3" t="s">
        <v>16</v>
      </c>
      <c r="B6" s="11" t="s">
        <v>17</v>
      </c>
      <c r="C6" s="11" t="s">
        <v>18</v>
      </c>
      <c r="D6" s="11" t="s">
        <v>19</v>
      </c>
      <c r="E6" s="11">
        <v>700</v>
      </c>
      <c r="F6" s="11">
        <v>0</v>
      </c>
      <c r="G6" s="11">
        <v>0</v>
      </c>
      <c r="H6" s="11">
        <v>0</v>
      </c>
      <c r="I6" s="11">
        <v>0</v>
      </c>
      <c r="J6" s="11">
        <f>E6*I6</f>
        <v>0</v>
      </c>
      <c r="K6" s="11"/>
      <c r="L6" s="11">
        <v>0</v>
      </c>
      <c r="M6" s="11">
        <v>0</v>
      </c>
      <c r="N6" s="11">
        <v>0</v>
      </c>
      <c r="O6" s="11">
        <v>0</v>
      </c>
      <c r="P6" s="11">
        <f>E6*O6</f>
        <v>0</v>
      </c>
    </row>
    <row r="7" ht="14.4" spans="1:16">
      <c r="A7" s="12"/>
      <c r="B7" s="11" t="s">
        <v>20</v>
      </c>
      <c r="C7" s="11" t="s">
        <v>21</v>
      </c>
      <c r="D7" s="11" t="s">
        <v>19</v>
      </c>
      <c r="E7" s="11">
        <v>950</v>
      </c>
      <c r="F7" s="11">
        <v>4</v>
      </c>
      <c r="G7" s="11">
        <v>0</v>
      </c>
      <c r="H7" s="11">
        <v>4</v>
      </c>
      <c r="I7" s="11">
        <v>0</v>
      </c>
      <c r="J7" s="11">
        <f t="shared" ref="J7:J64" si="0">E7*I7</f>
        <v>0</v>
      </c>
      <c r="K7" s="11"/>
      <c r="L7" s="11">
        <v>4</v>
      </c>
      <c r="M7" s="11">
        <v>0</v>
      </c>
      <c r="N7" s="11">
        <v>4</v>
      </c>
      <c r="O7" s="11">
        <v>0</v>
      </c>
      <c r="P7" s="11">
        <f t="shared" ref="P7:P38" si="1">E7*O7</f>
        <v>0</v>
      </c>
    </row>
    <row r="8" ht="14.4" spans="1:16">
      <c r="A8" s="12"/>
      <c r="B8" s="11" t="s">
        <v>22</v>
      </c>
      <c r="C8" s="11" t="s">
        <v>21</v>
      </c>
      <c r="D8" s="11" t="s">
        <v>19</v>
      </c>
      <c r="E8" s="11">
        <v>850</v>
      </c>
      <c r="F8" s="11">
        <v>0</v>
      </c>
      <c r="G8" s="11">
        <v>0</v>
      </c>
      <c r="H8" s="11">
        <v>0</v>
      </c>
      <c r="I8" s="11">
        <v>0</v>
      </c>
      <c r="J8" s="11">
        <f t="shared" si="0"/>
        <v>0</v>
      </c>
      <c r="K8" s="11"/>
      <c r="L8" s="11">
        <v>0</v>
      </c>
      <c r="M8" s="11">
        <v>0</v>
      </c>
      <c r="N8" s="11">
        <v>0</v>
      </c>
      <c r="O8" s="11">
        <v>0</v>
      </c>
      <c r="P8" s="11">
        <f t="shared" si="1"/>
        <v>0</v>
      </c>
    </row>
    <row r="9" ht="14.4" spans="1:16">
      <c r="A9" s="12"/>
      <c r="B9" s="11" t="s">
        <v>23</v>
      </c>
      <c r="C9" s="11" t="s">
        <v>24</v>
      </c>
      <c r="D9" s="11" t="s">
        <v>19</v>
      </c>
      <c r="E9" s="11">
        <v>850</v>
      </c>
      <c r="F9" s="11">
        <v>4</v>
      </c>
      <c r="G9" s="11">
        <v>0</v>
      </c>
      <c r="H9" s="11">
        <v>4</v>
      </c>
      <c r="I9" s="11">
        <v>0</v>
      </c>
      <c r="J9" s="11">
        <f t="shared" si="0"/>
        <v>0</v>
      </c>
      <c r="K9" s="11"/>
      <c r="L9" s="11">
        <v>4</v>
      </c>
      <c r="M9" s="11">
        <v>0</v>
      </c>
      <c r="N9" s="11">
        <v>4</v>
      </c>
      <c r="O9" s="11">
        <v>0</v>
      </c>
      <c r="P9" s="11">
        <f t="shared" si="1"/>
        <v>0</v>
      </c>
    </row>
    <row r="10" ht="14.4" spans="1:16">
      <c r="A10" s="12"/>
      <c r="B10" s="11" t="s">
        <v>25</v>
      </c>
      <c r="C10" s="11" t="s">
        <v>24</v>
      </c>
      <c r="D10" s="11" t="s">
        <v>19</v>
      </c>
      <c r="E10" s="11">
        <v>850</v>
      </c>
      <c r="F10" s="11">
        <v>1</v>
      </c>
      <c r="G10" s="11">
        <v>0</v>
      </c>
      <c r="H10" s="11">
        <v>1</v>
      </c>
      <c r="I10" s="11">
        <v>0</v>
      </c>
      <c r="J10" s="11">
        <f t="shared" si="0"/>
        <v>0</v>
      </c>
      <c r="K10" s="11"/>
      <c r="L10" s="11">
        <v>1</v>
      </c>
      <c r="M10" s="11">
        <v>0</v>
      </c>
      <c r="N10" s="11">
        <v>1</v>
      </c>
      <c r="O10" s="11">
        <v>0</v>
      </c>
      <c r="P10" s="11">
        <f t="shared" si="1"/>
        <v>0</v>
      </c>
    </row>
    <row r="11" ht="14.4" spans="1:16">
      <c r="A11" s="12"/>
      <c r="B11" s="11" t="s">
        <v>26</v>
      </c>
      <c r="C11" s="11" t="s">
        <v>27</v>
      </c>
      <c r="D11" s="11" t="s">
        <v>19</v>
      </c>
      <c r="E11" s="11">
        <v>950</v>
      </c>
      <c r="F11" s="11">
        <v>4</v>
      </c>
      <c r="G11" s="11">
        <v>0</v>
      </c>
      <c r="H11" s="11">
        <v>4</v>
      </c>
      <c r="I11" s="11">
        <v>0</v>
      </c>
      <c r="J11" s="11">
        <f t="shared" si="0"/>
        <v>0</v>
      </c>
      <c r="K11" s="11"/>
      <c r="L11" s="11">
        <v>4</v>
      </c>
      <c r="M11" s="11">
        <v>0</v>
      </c>
      <c r="N11" s="11">
        <v>4</v>
      </c>
      <c r="O11" s="11">
        <v>0</v>
      </c>
      <c r="P11" s="11">
        <f t="shared" si="1"/>
        <v>0</v>
      </c>
    </row>
    <row r="12" ht="14.4" spans="1:16">
      <c r="A12" s="12"/>
      <c r="B12" s="11" t="s">
        <v>28</v>
      </c>
      <c r="C12" s="11" t="s">
        <v>29</v>
      </c>
      <c r="D12" s="11" t="s">
        <v>30</v>
      </c>
      <c r="E12" s="11">
        <v>90</v>
      </c>
      <c r="F12" s="11">
        <v>6</v>
      </c>
      <c r="G12" s="11">
        <v>0</v>
      </c>
      <c r="H12" s="11">
        <v>4</v>
      </c>
      <c r="I12" s="11">
        <v>2</v>
      </c>
      <c r="J12" s="11">
        <f t="shared" si="0"/>
        <v>180</v>
      </c>
      <c r="K12" s="11"/>
      <c r="L12" s="11">
        <v>4</v>
      </c>
      <c r="M12" s="11">
        <v>0</v>
      </c>
      <c r="N12" s="11">
        <v>3</v>
      </c>
      <c r="O12" s="11">
        <v>0</v>
      </c>
      <c r="P12" s="11">
        <f t="shared" si="1"/>
        <v>0</v>
      </c>
    </row>
    <row r="13" ht="14.4" spans="1:16">
      <c r="A13" s="12"/>
      <c r="B13" s="11" t="s">
        <v>31</v>
      </c>
      <c r="C13" s="11" t="s">
        <v>32</v>
      </c>
      <c r="D13" s="11" t="s">
        <v>33</v>
      </c>
      <c r="E13" s="11">
        <v>120</v>
      </c>
      <c r="F13" s="11">
        <v>4</v>
      </c>
      <c r="G13" s="11">
        <v>2</v>
      </c>
      <c r="H13" s="11">
        <v>6</v>
      </c>
      <c r="I13" s="11">
        <v>0</v>
      </c>
      <c r="J13" s="11">
        <f t="shared" si="0"/>
        <v>0</v>
      </c>
      <c r="K13" s="11"/>
      <c r="L13" s="11">
        <v>6</v>
      </c>
      <c r="M13" s="11">
        <v>0</v>
      </c>
      <c r="N13" s="11">
        <v>3</v>
      </c>
      <c r="O13" s="11">
        <v>2</v>
      </c>
      <c r="P13" s="11">
        <f t="shared" si="1"/>
        <v>240</v>
      </c>
    </row>
    <row r="14" ht="14.4" spans="1:16">
      <c r="A14" s="12"/>
      <c r="B14" s="11" t="s">
        <v>31</v>
      </c>
      <c r="C14" s="11" t="s">
        <v>32</v>
      </c>
      <c r="D14" s="11" t="s">
        <v>30</v>
      </c>
      <c r="E14" s="11">
        <v>100</v>
      </c>
      <c r="F14" s="11">
        <v>3</v>
      </c>
      <c r="G14" s="11">
        <v>0</v>
      </c>
      <c r="H14" s="11">
        <v>3</v>
      </c>
      <c r="I14" s="11">
        <v>0</v>
      </c>
      <c r="J14" s="11">
        <f t="shared" si="0"/>
        <v>0</v>
      </c>
      <c r="K14" s="11"/>
      <c r="L14" s="11">
        <v>3</v>
      </c>
      <c r="M14" s="11">
        <v>0</v>
      </c>
      <c r="N14" s="11">
        <v>3</v>
      </c>
      <c r="O14" s="11">
        <v>1</v>
      </c>
      <c r="P14" s="11">
        <f t="shared" si="1"/>
        <v>100</v>
      </c>
    </row>
    <row r="15" ht="14.4" spans="1:16">
      <c r="A15" s="12"/>
      <c r="B15" s="11" t="s">
        <v>34</v>
      </c>
      <c r="C15" s="11"/>
      <c r="D15" s="11" t="s">
        <v>33</v>
      </c>
      <c r="E15" s="11">
        <v>120</v>
      </c>
      <c r="F15" s="11">
        <v>2</v>
      </c>
      <c r="G15" s="11">
        <v>6</v>
      </c>
      <c r="H15" s="11">
        <v>8</v>
      </c>
      <c r="I15" s="11">
        <v>0</v>
      </c>
      <c r="J15" s="11">
        <f t="shared" si="0"/>
        <v>0</v>
      </c>
      <c r="K15" s="11"/>
      <c r="L15" s="11">
        <v>8</v>
      </c>
      <c r="M15" s="11">
        <v>10</v>
      </c>
      <c r="N15" s="11">
        <v>17</v>
      </c>
      <c r="O15" s="11">
        <v>1</v>
      </c>
      <c r="P15" s="11">
        <f t="shared" si="1"/>
        <v>120</v>
      </c>
    </row>
    <row r="16" ht="14.4" spans="1:16">
      <c r="A16" s="3" t="s">
        <v>35</v>
      </c>
      <c r="B16" s="11" t="s">
        <v>36</v>
      </c>
      <c r="C16" s="11"/>
      <c r="D16" s="11" t="s">
        <v>37</v>
      </c>
      <c r="E16" s="11">
        <v>120</v>
      </c>
      <c r="F16" s="11">
        <v>7</v>
      </c>
      <c r="G16" s="11">
        <v>0</v>
      </c>
      <c r="H16" s="11">
        <v>7</v>
      </c>
      <c r="I16" s="11">
        <v>0</v>
      </c>
      <c r="J16" s="11">
        <f t="shared" si="0"/>
        <v>0</v>
      </c>
      <c r="K16" s="11"/>
      <c r="L16" s="11">
        <v>7</v>
      </c>
      <c r="M16" s="11">
        <v>0</v>
      </c>
      <c r="N16" s="11">
        <v>6</v>
      </c>
      <c r="O16" s="11">
        <v>0</v>
      </c>
      <c r="P16" s="11">
        <f t="shared" si="1"/>
        <v>0</v>
      </c>
    </row>
    <row r="17" ht="14.4" spans="1:16">
      <c r="A17" s="6"/>
      <c r="B17" s="11" t="s">
        <v>38</v>
      </c>
      <c r="C17" s="11" t="s">
        <v>39</v>
      </c>
      <c r="D17" s="11" t="s">
        <v>37</v>
      </c>
      <c r="E17" s="11">
        <v>130</v>
      </c>
      <c r="F17" s="11">
        <v>4</v>
      </c>
      <c r="G17" s="11">
        <v>0</v>
      </c>
      <c r="H17" s="11">
        <v>2</v>
      </c>
      <c r="I17" s="11">
        <v>2</v>
      </c>
      <c r="J17" s="11">
        <f t="shared" si="0"/>
        <v>260</v>
      </c>
      <c r="K17" s="11"/>
      <c r="L17" s="11">
        <v>2</v>
      </c>
      <c r="M17" s="11">
        <v>0</v>
      </c>
      <c r="N17" s="11">
        <v>0</v>
      </c>
      <c r="O17" s="11">
        <v>2</v>
      </c>
      <c r="P17" s="11">
        <v>260</v>
      </c>
    </row>
    <row r="18" ht="14.4" spans="1:16">
      <c r="A18" s="6"/>
      <c r="B18" s="11" t="s">
        <v>38</v>
      </c>
      <c r="C18" s="11" t="s">
        <v>39</v>
      </c>
      <c r="D18" s="11" t="s">
        <v>41</v>
      </c>
      <c r="E18" s="11">
        <v>250</v>
      </c>
      <c r="F18" s="11">
        <v>2</v>
      </c>
      <c r="G18" s="11">
        <v>12</v>
      </c>
      <c r="H18" s="11">
        <v>12</v>
      </c>
      <c r="I18" s="11">
        <v>2</v>
      </c>
      <c r="J18" s="11">
        <f t="shared" si="0"/>
        <v>500</v>
      </c>
      <c r="K18" s="11"/>
      <c r="L18" s="11">
        <v>12</v>
      </c>
      <c r="M18" s="11">
        <v>0</v>
      </c>
      <c r="N18" s="11">
        <v>11</v>
      </c>
      <c r="O18" s="11">
        <v>1</v>
      </c>
      <c r="P18" s="11">
        <v>250</v>
      </c>
    </row>
    <row r="19" ht="14.4" spans="1:16">
      <c r="A19" s="6"/>
      <c r="B19" s="11" t="s">
        <v>42</v>
      </c>
      <c r="C19" s="11" t="s">
        <v>43</v>
      </c>
      <c r="D19" s="11" t="s">
        <v>44</v>
      </c>
      <c r="E19" s="11">
        <v>120</v>
      </c>
      <c r="F19" s="11">
        <v>3</v>
      </c>
      <c r="G19" s="11">
        <v>0</v>
      </c>
      <c r="H19" s="11">
        <v>3</v>
      </c>
      <c r="I19" s="11">
        <v>0</v>
      </c>
      <c r="J19" s="11">
        <f t="shared" si="0"/>
        <v>0</v>
      </c>
      <c r="K19" s="11"/>
      <c r="L19" s="11">
        <v>3</v>
      </c>
      <c r="M19" s="11">
        <v>0</v>
      </c>
      <c r="N19" s="11">
        <v>3</v>
      </c>
      <c r="O19" s="11">
        <v>0</v>
      </c>
      <c r="P19" s="11">
        <f t="shared" si="1"/>
        <v>0</v>
      </c>
    </row>
    <row r="20" ht="14.4" spans="1:16">
      <c r="A20" s="6"/>
      <c r="B20" s="11" t="s">
        <v>45</v>
      </c>
      <c r="C20" s="11" t="s">
        <v>46</v>
      </c>
      <c r="D20" s="11" t="s">
        <v>41</v>
      </c>
      <c r="E20" s="11">
        <v>200</v>
      </c>
      <c r="F20" s="11">
        <v>2</v>
      </c>
      <c r="G20" s="11">
        <v>12</v>
      </c>
      <c r="H20" s="11">
        <v>15</v>
      </c>
      <c r="I20" s="11">
        <v>0</v>
      </c>
      <c r="J20" s="11">
        <f t="shared" si="0"/>
        <v>0</v>
      </c>
      <c r="K20" s="11"/>
      <c r="L20" s="11">
        <v>15</v>
      </c>
      <c r="M20" s="11">
        <v>0</v>
      </c>
      <c r="N20" s="11">
        <v>14</v>
      </c>
      <c r="O20" s="11">
        <v>1</v>
      </c>
      <c r="P20" s="11">
        <f t="shared" si="1"/>
        <v>200</v>
      </c>
    </row>
    <row r="21" ht="14.4" spans="1:16">
      <c r="A21" s="6"/>
      <c r="B21" s="11" t="s">
        <v>47</v>
      </c>
      <c r="C21" s="11"/>
      <c r="D21" s="11" t="s">
        <v>37</v>
      </c>
      <c r="E21" s="11">
        <v>100</v>
      </c>
      <c r="F21" s="11">
        <v>3</v>
      </c>
      <c r="G21" s="11">
        <v>12</v>
      </c>
      <c r="H21" s="11">
        <v>14</v>
      </c>
      <c r="I21" s="11">
        <v>1</v>
      </c>
      <c r="J21" s="11">
        <f t="shared" si="0"/>
        <v>100</v>
      </c>
      <c r="K21" s="11"/>
      <c r="L21" s="11">
        <v>14</v>
      </c>
      <c r="M21" s="11">
        <v>0</v>
      </c>
      <c r="N21" s="11">
        <v>13</v>
      </c>
      <c r="O21" s="11">
        <v>2</v>
      </c>
      <c r="P21" s="11">
        <v>200</v>
      </c>
    </row>
    <row r="22" ht="14.4" spans="1:16">
      <c r="A22" s="6"/>
      <c r="B22" s="11" t="s">
        <v>48</v>
      </c>
      <c r="C22" s="11"/>
      <c r="D22" s="11" t="s">
        <v>49</v>
      </c>
      <c r="E22" s="11">
        <v>100</v>
      </c>
      <c r="F22" s="11">
        <v>10</v>
      </c>
      <c r="G22" s="11">
        <v>0</v>
      </c>
      <c r="H22" s="11">
        <v>8</v>
      </c>
      <c r="I22" s="11">
        <v>2</v>
      </c>
      <c r="J22" s="11">
        <f t="shared" si="0"/>
        <v>200</v>
      </c>
      <c r="K22" s="11"/>
      <c r="L22" s="11">
        <v>8</v>
      </c>
      <c r="M22" s="11">
        <v>0</v>
      </c>
      <c r="N22" s="11">
        <v>5</v>
      </c>
      <c r="O22" s="11">
        <v>3</v>
      </c>
      <c r="P22" s="11">
        <f t="shared" si="1"/>
        <v>300</v>
      </c>
    </row>
    <row r="23" ht="14.4" spans="1:16">
      <c r="A23" s="9"/>
      <c r="B23" s="11" t="s">
        <v>50</v>
      </c>
      <c r="C23" s="11"/>
      <c r="D23" s="11" t="s">
        <v>51</v>
      </c>
      <c r="E23" s="11">
        <v>150</v>
      </c>
      <c r="F23" s="11">
        <v>12</v>
      </c>
      <c r="G23" s="11">
        <v>0</v>
      </c>
      <c r="H23" s="11">
        <v>12</v>
      </c>
      <c r="I23" s="11">
        <v>0</v>
      </c>
      <c r="J23" s="11">
        <f t="shared" si="0"/>
        <v>0</v>
      </c>
      <c r="K23" s="11"/>
      <c r="L23" s="11">
        <v>12</v>
      </c>
      <c r="M23" s="11">
        <v>0</v>
      </c>
      <c r="N23" s="11">
        <v>12</v>
      </c>
      <c r="O23" s="11">
        <v>0</v>
      </c>
      <c r="P23" s="11">
        <f t="shared" si="1"/>
        <v>0</v>
      </c>
    </row>
    <row r="24" ht="14.4" spans="1:16">
      <c r="A24" s="3" t="s">
        <v>52</v>
      </c>
      <c r="B24" s="11" t="s">
        <v>53</v>
      </c>
      <c r="C24" s="11"/>
      <c r="D24" s="11" t="s">
        <v>54</v>
      </c>
      <c r="E24" s="11">
        <v>100</v>
      </c>
      <c r="F24" s="11">
        <v>12</v>
      </c>
      <c r="G24" s="11">
        <v>0</v>
      </c>
      <c r="H24" s="11">
        <v>4</v>
      </c>
      <c r="I24" s="11">
        <v>8</v>
      </c>
      <c r="J24" s="11">
        <f t="shared" si="0"/>
        <v>800</v>
      </c>
      <c r="K24" s="11"/>
      <c r="L24" s="11">
        <v>4</v>
      </c>
      <c r="M24" s="11">
        <v>24</v>
      </c>
      <c r="N24" s="11">
        <v>0</v>
      </c>
      <c r="O24" s="11">
        <v>4</v>
      </c>
      <c r="P24" s="11">
        <f t="shared" si="1"/>
        <v>400</v>
      </c>
    </row>
    <row r="25" ht="14.4" spans="1:16">
      <c r="A25" s="12"/>
      <c r="B25" s="11" t="s">
        <v>53</v>
      </c>
      <c r="C25" s="11"/>
      <c r="D25" s="11" t="s">
        <v>55</v>
      </c>
      <c r="E25" s="11">
        <v>200</v>
      </c>
      <c r="F25" s="11">
        <v>11</v>
      </c>
      <c r="G25" s="11">
        <v>0</v>
      </c>
      <c r="H25" s="11">
        <v>11</v>
      </c>
      <c r="I25" s="11">
        <v>0</v>
      </c>
      <c r="J25" s="11">
        <f t="shared" si="0"/>
        <v>0</v>
      </c>
      <c r="K25" s="11"/>
      <c r="L25" s="11">
        <v>11</v>
      </c>
      <c r="M25" s="11">
        <v>0</v>
      </c>
      <c r="N25" s="11">
        <v>11</v>
      </c>
      <c r="O25" s="11">
        <v>3</v>
      </c>
      <c r="P25" s="11">
        <f t="shared" si="1"/>
        <v>600</v>
      </c>
    </row>
    <row r="26" ht="14.4" spans="1:16">
      <c r="A26" s="12"/>
      <c r="B26" s="11" t="s">
        <v>56</v>
      </c>
      <c r="C26" s="11"/>
      <c r="D26" s="11" t="s">
        <v>55</v>
      </c>
      <c r="E26" s="11">
        <v>200</v>
      </c>
      <c r="F26" s="11">
        <v>3</v>
      </c>
      <c r="G26" s="11">
        <v>0</v>
      </c>
      <c r="H26" s="11">
        <v>2</v>
      </c>
      <c r="I26" s="11">
        <v>1</v>
      </c>
      <c r="J26" s="11">
        <f t="shared" si="0"/>
        <v>200</v>
      </c>
      <c r="K26" s="11"/>
      <c r="L26" s="11">
        <v>2</v>
      </c>
      <c r="M26" s="11">
        <v>0</v>
      </c>
      <c r="N26" s="11">
        <v>2</v>
      </c>
      <c r="O26" s="11">
        <v>0</v>
      </c>
      <c r="P26" s="11">
        <f t="shared" si="1"/>
        <v>0</v>
      </c>
    </row>
    <row r="27" ht="14.4" spans="1:16">
      <c r="A27" s="12"/>
      <c r="B27" s="11" t="s">
        <v>57</v>
      </c>
      <c r="C27" s="11"/>
      <c r="D27" s="11" t="s">
        <v>58</v>
      </c>
      <c r="E27" s="11">
        <v>270</v>
      </c>
      <c r="F27" s="11">
        <v>2</v>
      </c>
      <c r="G27" s="11">
        <v>12</v>
      </c>
      <c r="H27" s="11">
        <v>14</v>
      </c>
      <c r="I27" s="11">
        <v>0</v>
      </c>
      <c r="J27" s="11">
        <f t="shared" si="0"/>
        <v>0</v>
      </c>
      <c r="K27" s="11"/>
      <c r="L27" s="11">
        <v>14</v>
      </c>
      <c r="M27" s="11">
        <v>0</v>
      </c>
      <c r="N27" s="11">
        <v>14</v>
      </c>
      <c r="O27" s="11">
        <v>0</v>
      </c>
      <c r="P27" s="11">
        <f t="shared" si="1"/>
        <v>0</v>
      </c>
    </row>
    <row r="28" ht="14.4" spans="1:16">
      <c r="A28" s="12"/>
      <c r="B28" s="11" t="s">
        <v>57</v>
      </c>
      <c r="C28" s="11"/>
      <c r="D28" s="11" t="s">
        <v>59</v>
      </c>
      <c r="E28" s="11">
        <v>190</v>
      </c>
      <c r="F28" s="11">
        <v>11</v>
      </c>
      <c r="G28" s="11">
        <v>0</v>
      </c>
      <c r="H28" s="11">
        <v>10</v>
      </c>
      <c r="I28" s="11">
        <v>1</v>
      </c>
      <c r="J28" s="11">
        <f t="shared" si="0"/>
        <v>190</v>
      </c>
      <c r="K28" s="11"/>
      <c r="L28" s="11">
        <v>10</v>
      </c>
      <c r="M28" s="11">
        <v>0</v>
      </c>
      <c r="N28" s="11">
        <v>10</v>
      </c>
      <c r="O28" s="11">
        <v>0</v>
      </c>
      <c r="P28" s="11">
        <f t="shared" si="1"/>
        <v>0</v>
      </c>
    </row>
    <row r="29" ht="14.4" spans="1:16">
      <c r="A29" s="12"/>
      <c r="B29" s="11" t="s">
        <v>60</v>
      </c>
      <c r="C29" s="11"/>
      <c r="D29" s="11" t="s">
        <v>59</v>
      </c>
      <c r="E29" s="11">
        <v>350</v>
      </c>
      <c r="F29" s="11">
        <v>2</v>
      </c>
      <c r="G29" s="11">
        <v>6</v>
      </c>
      <c r="H29" s="11">
        <v>8</v>
      </c>
      <c r="I29" s="11">
        <v>0</v>
      </c>
      <c r="J29" s="11">
        <f t="shared" si="0"/>
        <v>0</v>
      </c>
      <c r="K29" s="11"/>
      <c r="L29" s="11">
        <v>8</v>
      </c>
      <c r="M29" s="11">
        <v>0</v>
      </c>
      <c r="N29" s="11">
        <v>8</v>
      </c>
      <c r="O29" s="11">
        <v>0</v>
      </c>
      <c r="P29" s="11">
        <f t="shared" si="1"/>
        <v>0</v>
      </c>
    </row>
    <row r="30" ht="14.4" spans="1:16">
      <c r="A30" s="12"/>
      <c r="B30" s="11" t="s">
        <v>61</v>
      </c>
      <c r="C30" s="11"/>
      <c r="D30" s="11" t="s">
        <v>55</v>
      </c>
      <c r="E30" s="11">
        <v>200</v>
      </c>
      <c r="F30" s="11">
        <v>13</v>
      </c>
      <c r="G30" s="11">
        <v>0</v>
      </c>
      <c r="H30" s="11">
        <v>12</v>
      </c>
      <c r="I30" s="11">
        <v>1</v>
      </c>
      <c r="J30" s="11">
        <f t="shared" si="0"/>
        <v>200</v>
      </c>
      <c r="K30" s="11"/>
      <c r="L30" s="11">
        <v>12</v>
      </c>
      <c r="M30" s="11">
        <v>0</v>
      </c>
      <c r="N30" s="11">
        <v>10</v>
      </c>
      <c r="O30" s="11">
        <v>0</v>
      </c>
      <c r="P30" s="11">
        <f t="shared" si="1"/>
        <v>0</v>
      </c>
    </row>
    <row r="31" ht="14.4" spans="1:16">
      <c r="A31" s="12"/>
      <c r="B31" s="11" t="s">
        <v>156</v>
      </c>
      <c r="C31" s="11"/>
      <c r="D31" s="11" t="s">
        <v>58</v>
      </c>
      <c r="E31" s="11">
        <v>350</v>
      </c>
      <c r="F31" s="11">
        <v>3</v>
      </c>
      <c r="G31" s="11">
        <v>0</v>
      </c>
      <c r="H31" s="11">
        <v>3</v>
      </c>
      <c r="I31" s="11">
        <v>0</v>
      </c>
      <c r="J31" s="11">
        <f t="shared" si="0"/>
        <v>0</v>
      </c>
      <c r="K31" s="11"/>
      <c r="L31" s="11">
        <v>3</v>
      </c>
      <c r="M31" s="11">
        <v>0</v>
      </c>
      <c r="N31" s="11">
        <v>2</v>
      </c>
      <c r="O31" s="11">
        <v>1</v>
      </c>
      <c r="P31" s="11">
        <v>350</v>
      </c>
    </row>
    <row r="32" ht="14.4" spans="1:16">
      <c r="A32" s="12"/>
      <c r="B32" s="11" t="s">
        <v>62</v>
      </c>
      <c r="C32" s="11"/>
      <c r="D32" s="11" t="s">
        <v>54</v>
      </c>
      <c r="E32" s="11">
        <v>150</v>
      </c>
      <c r="F32" s="11">
        <v>20</v>
      </c>
      <c r="G32" s="11">
        <v>0</v>
      </c>
      <c r="H32" s="11">
        <v>19</v>
      </c>
      <c r="I32" s="11">
        <v>1</v>
      </c>
      <c r="J32" s="11">
        <f t="shared" si="0"/>
        <v>150</v>
      </c>
      <c r="K32" s="11"/>
      <c r="L32" s="11">
        <v>19</v>
      </c>
      <c r="M32" s="11">
        <v>0</v>
      </c>
      <c r="N32" s="11">
        <v>18</v>
      </c>
      <c r="O32" s="11">
        <v>1</v>
      </c>
      <c r="P32" s="11">
        <f t="shared" si="1"/>
        <v>150</v>
      </c>
    </row>
    <row r="33" ht="14.4" spans="1:16">
      <c r="A33" s="12"/>
      <c r="B33" s="11" t="s">
        <v>63</v>
      </c>
      <c r="C33" s="11" t="s">
        <v>64</v>
      </c>
      <c r="D33" s="11" t="s">
        <v>65</v>
      </c>
      <c r="E33" s="11">
        <v>100</v>
      </c>
      <c r="F33" s="11">
        <v>0</v>
      </c>
      <c r="G33" s="11">
        <v>0</v>
      </c>
      <c r="H33" s="11">
        <v>0</v>
      </c>
      <c r="I33" s="11">
        <v>0</v>
      </c>
      <c r="J33" s="11">
        <f t="shared" si="0"/>
        <v>0</v>
      </c>
      <c r="K33" s="11"/>
      <c r="L33" s="11">
        <v>0</v>
      </c>
      <c r="M33" s="11">
        <v>60</v>
      </c>
      <c r="N33" s="11">
        <v>58</v>
      </c>
      <c r="O33" s="11">
        <v>2</v>
      </c>
      <c r="P33" s="11">
        <f t="shared" si="1"/>
        <v>200</v>
      </c>
    </row>
    <row r="34" ht="14.4" spans="1:16">
      <c r="A34" s="12"/>
      <c r="B34" s="11" t="s">
        <v>63</v>
      </c>
      <c r="C34" s="11" t="s">
        <v>64</v>
      </c>
      <c r="D34" s="11" t="s">
        <v>41</v>
      </c>
      <c r="E34" s="11">
        <v>150</v>
      </c>
      <c r="F34" s="11">
        <v>44</v>
      </c>
      <c r="G34" s="11">
        <v>0</v>
      </c>
      <c r="H34" s="11">
        <v>39</v>
      </c>
      <c r="I34" s="11">
        <v>5</v>
      </c>
      <c r="J34" s="11">
        <f t="shared" si="0"/>
        <v>750</v>
      </c>
      <c r="K34" s="11"/>
      <c r="L34" s="11">
        <v>39</v>
      </c>
      <c r="M34" s="11">
        <v>0</v>
      </c>
      <c r="N34" s="11">
        <v>37</v>
      </c>
      <c r="O34" s="11">
        <v>2</v>
      </c>
      <c r="P34" s="11">
        <f t="shared" si="1"/>
        <v>300</v>
      </c>
    </row>
    <row r="35" ht="14.4" spans="1:16">
      <c r="A35" s="12"/>
      <c r="B35" s="11" t="s">
        <v>63</v>
      </c>
      <c r="C35" s="11" t="s">
        <v>64</v>
      </c>
      <c r="D35" s="11" t="s">
        <v>66</v>
      </c>
      <c r="E35" s="11">
        <v>200</v>
      </c>
      <c r="F35" s="11">
        <v>43</v>
      </c>
      <c r="G35" s="11">
        <v>0</v>
      </c>
      <c r="H35" s="11">
        <v>41</v>
      </c>
      <c r="I35" s="11">
        <v>2</v>
      </c>
      <c r="J35" s="11">
        <f t="shared" si="0"/>
        <v>400</v>
      </c>
      <c r="K35" s="11"/>
      <c r="L35" s="11">
        <v>41</v>
      </c>
      <c r="M35" s="11">
        <v>0</v>
      </c>
      <c r="N35" s="11">
        <v>37</v>
      </c>
      <c r="O35" s="11">
        <v>6</v>
      </c>
      <c r="P35" s="11">
        <f t="shared" si="1"/>
        <v>1200</v>
      </c>
    </row>
    <row r="36" ht="14.4" spans="1:16">
      <c r="A36" s="12"/>
      <c r="B36" s="11" t="s">
        <v>67</v>
      </c>
      <c r="C36" s="11" t="s">
        <v>68</v>
      </c>
      <c r="D36" s="11" t="s">
        <v>41</v>
      </c>
      <c r="E36" s="11">
        <v>150</v>
      </c>
      <c r="F36" s="11">
        <v>3</v>
      </c>
      <c r="G36" s="11">
        <v>12</v>
      </c>
      <c r="H36" s="11">
        <v>14</v>
      </c>
      <c r="I36" s="11">
        <v>1</v>
      </c>
      <c r="J36" s="11">
        <f t="shared" si="0"/>
        <v>150</v>
      </c>
      <c r="K36" s="11"/>
      <c r="L36" s="11">
        <v>14</v>
      </c>
      <c r="M36" s="11">
        <v>0</v>
      </c>
      <c r="N36" s="11">
        <v>14</v>
      </c>
      <c r="O36" s="11">
        <v>0</v>
      </c>
      <c r="P36" s="11">
        <f t="shared" si="1"/>
        <v>0</v>
      </c>
    </row>
    <row r="37" ht="14.4" spans="1:16">
      <c r="A37" s="12"/>
      <c r="B37" s="11" t="s">
        <v>69</v>
      </c>
      <c r="C37" s="11" t="s">
        <v>68</v>
      </c>
      <c r="D37" s="11" t="s">
        <v>66</v>
      </c>
      <c r="E37" s="11">
        <v>200</v>
      </c>
      <c r="F37" s="11">
        <v>10</v>
      </c>
      <c r="G37" s="11">
        <v>0</v>
      </c>
      <c r="H37" s="11">
        <v>10</v>
      </c>
      <c r="I37" s="11">
        <v>0</v>
      </c>
      <c r="J37" s="11">
        <f t="shared" si="0"/>
        <v>0</v>
      </c>
      <c r="K37" s="11"/>
      <c r="L37" s="11">
        <v>10</v>
      </c>
      <c r="M37" s="11">
        <v>0</v>
      </c>
      <c r="N37" s="11">
        <v>9</v>
      </c>
      <c r="O37" s="11">
        <v>1</v>
      </c>
      <c r="P37" s="11">
        <f t="shared" si="1"/>
        <v>200</v>
      </c>
    </row>
    <row r="38" ht="14.4" spans="1:16">
      <c r="A38" s="12"/>
      <c r="B38" s="11" t="s">
        <v>70</v>
      </c>
      <c r="C38" s="11"/>
      <c r="D38" s="11" t="s">
        <v>58</v>
      </c>
      <c r="E38" s="11">
        <v>300</v>
      </c>
      <c r="F38" s="11">
        <v>15</v>
      </c>
      <c r="G38" s="11">
        <v>0</v>
      </c>
      <c r="H38" s="11">
        <v>15</v>
      </c>
      <c r="I38" s="11">
        <v>0</v>
      </c>
      <c r="J38" s="11">
        <f t="shared" si="0"/>
        <v>0</v>
      </c>
      <c r="K38" s="11"/>
      <c r="L38" s="11">
        <v>15</v>
      </c>
      <c r="M38" s="11">
        <v>20</v>
      </c>
      <c r="N38" s="11">
        <v>15</v>
      </c>
      <c r="O38" s="11">
        <v>0</v>
      </c>
      <c r="P38" s="11">
        <f t="shared" si="1"/>
        <v>0</v>
      </c>
    </row>
    <row r="39" ht="14.4" spans="1:16">
      <c r="A39" s="12"/>
      <c r="B39" s="11" t="s">
        <v>70</v>
      </c>
      <c r="C39" s="11"/>
      <c r="D39" s="11" t="s">
        <v>59</v>
      </c>
      <c r="E39" s="11">
        <v>200</v>
      </c>
      <c r="F39" s="11">
        <v>6</v>
      </c>
      <c r="G39" s="11">
        <v>0</v>
      </c>
      <c r="H39" s="11">
        <v>4</v>
      </c>
      <c r="I39" s="11">
        <v>2</v>
      </c>
      <c r="J39" s="11">
        <f t="shared" si="0"/>
        <v>400</v>
      </c>
      <c r="K39" s="11"/>
      <c r="L39" s="11">
        <v>4</v>
      </c>
      <c r="M39" s="11">
        <v>12</v>
      </c>
      <c r="N39" s="11">
        <v>2</v>
      </c>
      <c r="O39" s="11">
        <v>3</v>
      </c>
      <c r="P39" s="11">
        <f t="shared" ref="P39:P64" si="2">E39*O39</f>
        <v>600</v>
      </c>
    </row>
    <row r="40" ht="14.4" spans="1:16">
      <c r="A40" s="13"/>
      <c r="B40" s="11" t="s">
        <v>71</v>
      </c>
      <c r="C40" s="11"/>
      <c r="D40" s="11" t="s">
        <v>58</v>
      </c>
      <c r="E40" s="11">
        <v>250</v>
      </c>
      <c r="F40" s="11">
        <v>4</v>
      </c>
      <c r="G40" s="11">
        <v>0</v>
      </c>
      <c r="H40" s="11">
        <v>4</v>
      </c>
      <c r="I40" s="11">
        <v>0</v>
      </c>
      <c r="J40" s="11">
        <f t="shared" si="0"/>
        <v>0</v>
      </c>
      <c r="K40" s="11"/>
      <c r="L40" s="11">
        <v>4</v>
      </c>
      <c r="M40" s="11">
        <v>0</v>
      </c>
      <c r="N40" s="11">
        <v>4</v>
      </c>
      <c r="O40" s="11">
        <v>0</v>
      </c>
      <c r="P40" s="11">
        <f t="shared" si="2"/>
        <v>0</v>
      </c>
    </row>
    <row r="41" ht="14.4" spans="1:16">
      <c r="A41" s="3" t="s">
        <v>72</v>
      </c>
      <c r="B41" s="11" t="s">
        <v>73</v>
      </c>
      <c r="C41" s="11" t="s">
        <v>74</v>
      </c>
      <c r="D41" s="11" t="s">
        <v>75</v>
      </c>
      <c r="E41" s="11">
        <v>200</v>
      </c>
      <c r="F41" s="11">
        <v>12</v>
      </c>
      <c r="G41" s="11">
        <v>0</v>
      </c>
      <c r="H41" s="11">
        <v>12</v>
      </c>
      <c r="I41" s="11">
        <v>0</v>
      </c>
      <c r="J41" s="11">
        <f t="shared" si="0"/>
        <v>0</v>
      </c>
      <c r="K41" s="11"/>
      <c r="L41" s="11">
        <v>12</v>
      </c>
      <c r="M41" s="11">
        <v>0</v>
      </c>
      <c r="N41" s="11">
        <v>12</v>
      </c>
      <c r="O41" s="11">
        <v>0</v>
      </c>
      <c r="P41" s="11">
        <f t="shared" si="2"/>
        <v>0</v>
      </c>
    </row>
    <row r="42" ht="14.4" spans="1:16">
      <c r="A42" s="13"/>
      <c r="B42" s="11" t="s">
        <v>76</v>
      </c>
      <c r="C42" s="11"/>
      <c r="D42" s="11" t="s">
        <v>157</v>
      </c>
      <c r="E42" s="11">
        <v>1000</v>
      </c>
      <c r="F42" s="11">
        <v>6</v>
      </c>
      <c r="G42" s="11">
        <v>0</v>
      </c>
      <c r="H42" s="11">
        <v>6</v>
      </c>
      <c r="I42" s="11">
        <v>0</v>
      </c>
      <c r="J42" s="11">
        <f t="shared" si="0"/>
        <v>0</v>
      </c>
      <c r="K42" s="11"/>
      <c r="L42" s="11">
        <v>6</v>
      </c>
      <c r="M42" s="11">
        <v>0</v>
      </c>
      <c r="N42" s="11">
        <v>6</v>
      </c>
      <c r="O42" s="11">
        <v>0</v>
      </c>
      <c r="P42" s="11">
        <f t="shared" si="2"/>
        <v>0</v>
      </c>
    </row>
    <row r="43" ht="14.4" spans="1:16">
      <c r="A43" s="3" t="s">
        <v>77</v>
      </c>
      <c r="B43" s="11" t="s">
        <v>78</v>
      </c>
      <c r="C43" s="11" t="s">
        <v>79</v>
      </c>
      <c r="D43" s="11" t="s">
        <v>65</v>
      </c>
      <c r="E43" s="11">
        <v>170</v>
      </c>
      <c r="F43" s="11">
        <v>0</v>
      </c>
      <c r="G43" s="11">
        <v>0</v>
      </c>
      <c r="H43" s="11">
        <v>0</v>
      </c>
      <c r="I43" s="11">
        <v>0</v>
      </c>
      <c r="J43" s="11">
        <f t="shared" si="0"/>
        <v>0</v>
      </c>
      <c r="K43" s="11"/>
      <c r="L43" s="11">
        <v>0</v>
      </c>
      <c r="M43" s="11">
        <v>0</v>
      </c>
      <c r="N43" s="11">
        <v>0</v>
      </c>
      <c r="O43" s="11">
        <v>0</v>
      </c>
      <c r="P43" s="11">
        <f t="shared" si="2"/>
        <v>0</v>
      </c>
    </row>
    <row r="44" ht="14.4" spans="1:16">
      <c r="A44" s="6"/>
      <c r="B44" s="11" t="s">
        <v>78</v>
      </c>
      <c r="C44" s="11" t="s">
        <v>79</v>
      </c>
      <c r="D44" s="11" t="s">
        <v>41</v>
      </c>
      <c r="E44" s="11">
        <v>300</v>
      </c>
      <c r="F44" s="11">
        <v>10</v>
      </c>
      <c r="G44" s="11">
        <v>0</v>
      </c>
      <c r="H44" s="11">
        <v>10</v>
      </c>
      <c r="I44" s="11">
        <v>0</v>
      </c>
      <c r="J44" s="11">
        <f t="shared" si="0"/>
        <v>0</v>
      </c>
      <c r="K44" s="11"/>
      <c r="L44" s="11">
        <v>10</v>
      </c>
      <c r="M44" s="11">
        <v>0</v>
      </c>
      <c r="N44" s="11">
        <v>10</v>
      </c>
      <c r="O44" s="11">
        <v>0</v>
      </c>
      <c r="P44" s="11">
        <f t="shared" si="2"/>
        <v>0</v>
      </c>
    </row>
    <row r="45" ht="14.4" spans="1:16">
      <c r="A45" s="6"/>
      <c r="B45" s="11" t="s">
        <v>80</v>
      </c>
      <c r="C45" s="11" t="s">
        <v>79</v>
      </c>
      <c r="D45" s="11" t="s">
        <v>85</v>
      </c>
      <c r="E45" s="11">
        <v>130</v>
      </c>
      <c r="F45" s="11">
        <v>1</v>
      </c>
      <c r="G45" s="11">
        <v>12</v>
      </c>
      <c r="H45" s="11">
        <v>13</v>
      </c>
      <c r="I45" s="11">
        <v>0</v>
      </c>
      <c r="J45" s="11">
        <f t="shared" si="0"/>
        <v>0</v>
      </c>
      <c r="K45" s="11"/>
      <c r="L45" s="11">
        <v>13</v>
      </c>
      <c r="M45" s="11">
        <v>0</v>
      </c>
      <c r="N45" s="11">
        <v>11</v>
      </c>
      <c r="O45" s="11">
        <v>2</v>
      </c>
      <c r="P45" s="11">
        <f t="shared" si="2"/>
        <v>260</v>
      </c>
    </row>
    <row r="46" ht="14.4" spans="1:16">
      <c r="A46" s="6"/>
      <c r="B46" s="11" t="s">
        <v>80</v>
      </c>
      <c r="C46" s="11" t="s">
        <v>79</v>
      </c>
      <c r="D46" s="11" t="s">
        <v>82</v>
      </c>
      <c r="E46" s="11">
        <v>250</v>
      </c>
      <c r="F46" s="11">
        <v>3</v>
      </c>
      <c r="G46" s="11">
        <v>12</v>
      </c>
      <c r="H46" s="11">
        <v>14</v>
      </c>
      <c r="I46" s="11">
        <v>1</v>
      </c>
      <c r="J46" s="11">
        <f t="shared" si="0"/>
        <v>250</v>
      </c>
      <c r="K46" s="11"/>
      <c r="L46" s="11">
        <v>14</v>
      </c>
      <c r="M46" s="11">
        <v>0</v>
      </c>
      <c r="N46" s="11">
        <v>13</v>
      </c>
      <c r="O46" s="11">
        <v>1</v>
      </c>
      <c r="P46" s="11">
        <f t="shared" si="2"/>
        <v>250</v>
      </c>
    </row>
    <row r="47" ht="14.4" spans="1:16">
      <c r="A47" s="6"/>
      <c r="B47" s="11" t="s">
        <v>83</v>
      </c>
      <c r="C47" s="11" t="s">
        <v>84</v>
      </c>
      <c r="D47" s="11" t="s">
        <v>85</v>
      </c>
      <c r="E47" s="11">
        <v>150</v>
      </c>
      <c r="F47" s="11">
        <v>2</v>
      </c>
      <c r="G47" s="11">
        <v>0</v>
      </c>
      <c r="H47" s="11">
        <v>2</v>
      </c>
      <c r="I47" s="11">
        <v>0</v>
      </c>
      <c r="J47" s="11">
        <f t="shared" si="0"/>
        <v>0</v>
      </c>
      <c r="K47" s="11"/>
      <c r="L47" s="11">
        <v>2</v>
      </c>
      <c r="M47" s="11">
        <v>0</v>
      </c>
      <c r="N47" s="11">
        <v>2</v>
      </c>
      <c r="O47" s="11">
        <v>0</v>
      </c>
      <c r="P47" s="11">
        <f t="shared" si="2"/>
        <v>0</v>
      </c>
    </row>
    <row r="48" ht="14.4" spans="1:16">
      <c r="A48" s="6"/>
      <c r="B48" s="11" t="s">
        <v>86</v>
      </c>
      <c r="C48" s="11"/>
      <c r="D48" s="11" t="s">
        <v>33</v>
      </c>
      <c r="E48" s="11">
        <v>100</v>
      </c>
      <c r="F48" s="11">
        <v>0</v>
      </c>
      <c r="G48" s="11">
        <v>12</v>
      </c>
      <c r="H48" s="11">
        <v>11</v>
      </c>
      <c r="I48" s="11">
        <v>1</v>
      </c>
      <c r="J48" s="11">
        <f t="shared" si="0"/>
        <v>100</v>
      </c>
      <c r="K48" s="11"/>
      <c r="L48" s="11">
        <v>11</v>
      </c>
      <c r="M48" s="11">
        <v>0</v>
      </c>
      <c r="N48" s="11">
        <v>10</v>
      </c>
      <c r="O48" s="11">
        <v>1</v>
      </c>
      <c r="P48" s="11">
        <v>100</v>
      </c>
    </row>
    <row r="49" ht="14.4" spans="1:16">
      <c r="A49" s="6"/>
      <c r="B49" s="11" t="s">
        <v>86</v>
      </c>
      <c r="C49" s="11"/>
      <c r="D49" s="11" t="s">
        <v>82</v>
      </c>
      <c r="E49" s="11">
        <v>250</v>
      </c>
      <c r="F49" s="11">
        <v>8</v>
      </c>
      <c r="G49" s="11">
        <v>0</v>
      </c>
      <c r="H49" s="11">
        <v>8</v>
      </c>
      <c r="I49" s="11">
        <v>0</v>
      </c>
      <c r="J49" s="11">
        <f t="shared" si="0"/>
        <v>0</v>
      </c>
      <c r="K49" s="11"/>
      <c r="L49" s="11">
        <v>8</v>
      </c>
      <c r="M49" s="11">
        <v>0</v>
      </c>
      <c r="N49" s="11">
        <v>7</v>
      </c>
      <c r="O49" s="11">
        <v>1</v>
      </c>
      <c r="P49" s="11">
        <v>250</v>
      </c>
    </row>
    <row r="50" ht="14.4" spans="1:16">
      <c r="A50" s="6"/>
      <c r="B50" s="11" t="s">
        <v>87</v>
      </c>
      <c r="C50" s="11"/>
      <c r="D50" s="11" t="s">
        <v>49</v>
      </c>
      <c r="E50" s="11">
        <v>150</v>
      </c>
      <c r="F50" s="11">
        <v>0</v>
      </c>
      <c r="G50" s="11">
        <v>6</v>
      </c>
      <c r="H50" s="11">
        <v>0</v>
      </c>
      <c r="I50" s="11">
        <v>6</v>
      </c>
      <c r="J50" s="11">
        <f t="shared" si="0"/>
        <v>900</v>
      </c>
      <c r="K50" s="11"/>
      <c r="L50" s="11">
        <v>0</v>
      </c>
      <c r="M50" s="11">
        <v>0</v>
      </c>
      <c r="N50" s="11">
        <v>0</v>
      </c>
      <c r="O50" s="11">
        <v>0</v>
      </c>
      <c r="P50" s="11">
        <f t="shared" si="2"/>
        <v>0</v>
      </c>
    </row>
    <row r="51" ht="14.4" spans="1:16">
      <c r="A51" s="6"/>
      <c r="B51" s="11" t="s">
        <v>88</v>
      </c>
      <c r="C51" s="11"/>
      <c r="D51" s="11" t="s">
        <v>82</v>
      </c>
      <c r="E51" s="11">
        <v>300</v>
      </c>
      <c r="F51" s="11">
        <v>0</v>
      </c>
      <c r="G51" s="11">
        <v>0</v>
      </c>
      <c r="H51" s="11">
        <v>0</v>
      </c>
      <c r="I51" s="11">
        <v>0</v>
      </c>
      <c r="J51" s="11">
        <f t="shared" si="0"/>
        <v>0</v>
      </c>
      <c r="K51" s="11"/>
      <c r="L51" s="11">
        <v>0</v>
      </c>
      <c r="M51" s="11">
        <v>0</v>
      </c>
      <c r="N51" s="11">
        <v>0</v>
      </c>
      <c r="O51" s="11">
        <v>0</v>
      </c>
      <c r="P51" s="11">
        <f t="shared" si="2"/>
        <v>0</v>
      </c>
    </row>
    <row r="52" ht="14.4" spans="1:16">
      <c r="A52" s="9"/>
      <c r="B52" s="11" t="s">
        <v>89</v>
      </c>
      <c r="C52" s="11"/>
      <c r="D52" s="11" t="s">
        <v>90</v>
      </c>
      <c r="E52" s="11">
        <v>430</v>
      </c>
      <c r="F52" s="11">
        <v>5</v>
      </c>
      <c r="G52" s="11">
        <v>0</v>
      </c>
      <c r="H52" s="11">
        <v>5</v>
      </c>
      <c r="I52" s="11">
        <v>0</v>
      </c>
      <c r="J52" s="11">
        <f t="shared" si="0"/>
        <v>0</v>
      </c>
      <c r="K52" s="11"/>
      <c r="L52" s="11">
        <v>5</v>
      </c>
      <c r="M52" s="11">
        <v>1</v>
      </c>
      <c r="N52" s="11">
        <v>4</v>
      </c>
      <c r="O52" s="11">
        <v>1</v>
      </c>
      <c r="P52" s="11">
        <f t="shared" si="2"/>
        <v>430</v>
      </c>
    </row>
    <row r="53" ht="14.4" spans="1:16">
      <c r="A53" s="3" t="s">
        <v>91</v>
      </c>
      <c r="B53" s="11" t="s">
        <v>92</v>
      </c>
      <c r="C53" s="11" t="s">
        <v>93</v>
      </c>
      <c r="D53" s="11" t="s">
        <v>94</v>
      </c>
      <c r="E53" s="11">
        <v>300</v>
      </c>
      <c r="F53" s="11">
        <v>3</v>
      </c>
      <c r="G53" s="11">
        <v>0</v>
      </c>
      <c r="H53" s="11">
        <v>0</v>
      </c>
      <c r="I53" s="11">
        <v>3</v>
      </c>
      <c r="J53" s="11">
        <f t="shared" si="0"/>
        <v>900</v>
      </c>
      <c r="K53" s="11"/>
      <c r="L53" s="11">
        <v>2</v>
      </c>
      <c r="M53" s="11">
        <v>0</v>
      </c>
      <c r="N53" s="11">
        <v>2</v>
      </c>
      <c r="O53" s="11">
        <v>0</v>
      </c>
      <c r="P53" s="11">
        <f t="shared" si="2"/>
        <v>0</v>
      </c>
    </row>
    <row r="54" ht="14.4" spans="1:16">
      <c r="A54" s="6"/>
      <c r="B54" s="11" t="s">
        <v>95</v>
      </c>
      <c r="C54" s="11" t="s">
        <v>96</v>
      </c>
      <c r="D54" s="11" t="s">
        <v>94</v>
      </c>
      <c r="E54" s="11">
        <v>50</v>
      </c>
      <c r="F54" s="11">
        <v>0</v>
      </c>
      <c r="G54" s="11">
        <v>12</v>
      </c>
      <c r="H54" s="11">
        <v>12</v>
      </c>
      <c r="I54" s="11">
        <v>0</v>
      </c>
      <c r="J54" s="11">
        <f t="shared" si="0"/>
        <v>0</v>
      </c>
      <c r="K54" s="11"/>
      <c r="L54" s="11">
        <v>12</v>
      </c>
      <c r="M54" s="11">
        <v>0</v>
      </c>
      <c r="N54" s="11">
        <v>12</v>
      </c>
      <c r="O54" s="11">
        <v>0</v>
      </c>
      <c r="P54" s="11">
        <f t="shared" si="2"/>
        <v>0</v>
      </c>
    </row>
    <row r="55" ht="14.4" spans="1:16">
      <c r="A55" s="6"/>
      <c r="B55" s="11" t="s">
        <v>97</v>
      </c>
      <c r="C55" s="11" t="s">
        <v>98</v>
      </c>
      <c r="D55" s="11" t="s">
        <v>19</v>
      </c>
      <c r="E55" s="11">
        <v>350</v>
      </c>
      <c r="F55" s="11">
        <v>5</v>
      </c>
      <c r="G55" s="11">
        <v>0</v>
      </c>
      <c r="H55" s="11">
        <v>4</v>
      </c>
      <c r="I55" s="11">
        <v>1</v>
      </c>
      <c r="J55" s="11">
        <f t="shared" si="0"/>
        <v>350</v>
      </c>
      <c r="K55" s="11"/>
      <c r="L55" s="11">
        <v>4</v>
      </c>
      <c r="M55" s="11">
        <v>0</v>
      </c>
      <c r="N55" s="11">
        <v>3</v>
      </c>
      <c r="O55" s="11">
        <v>1</v>
      </c>
      <c r="P55" s="11">
        <f t="shared" si="2"/>
        <v>350</v>
      </c>
    </row>
    <row r="56" ht="14.4" spans="1:16">
      <c r="A56" s="9"/>
      <c r="B56" s="11" t="s">
        <v>99</v>
      </c>
      <c r="C56" s="11" t="s">
        <v>100</v>
      </c>
      <c r="D56" s="11" t="s">
        <v>94</v>
      </c>
      <c r="E56" s="11">
        <v>150</v>
      </c>
      <c r="F56" s="11">
        <v>0</v>
      </c>
      <c r="G56" s="11">
        <v>0</v>
      </c>
      <c r="H56" s="11">
        <v>0</v>
      </c>
      <c r="I56" s="11">
        <v>0</v>
      </c>
      <c r="J56" s="11">
        <f t="shared" si="0"/>
        <v>0</v>
      </c>
      <c r="K56" s="11"/>
      <c r="L56" s="11">
        <v>0</v>
      </c>
      <c r="M56" s="11">
        <v>0</v>
      </c>
      <c r="N56" s="11">
        <v>0</v>
      </c>
      <c r="O56" s="11">
        <v>0</v>
      </c>
      <c r="P56" s="11">
        <f t="shared" si="2"/>
        <v>0</v>
      </c>
    </row>
    <row r="57" ht="14.4" spans="1:16">
      <c r="A57" s="3" t="s">
        <v>101</v>
      </c>
      <c r="B57" s="11" t="s">
        <v>102</v>
      </c>
      <c r="C57" s="11" t="s">
        <v>103</v>
      </c>
      <c r="D57" s="11" t="s">
        <v>104</v>
      </c>
      <c r="E57" s="11">
        <v>100</v>
      </c>
      <c r="F57" s="11">
        <v>0</v>
      </c>
      <c r="G57" s="11">
        <v>0</v>
      </c>
      <c r="H57" s="11">
        <v>0</v>
      </c>
      <c r="I57" s="11">
        <v>0</v>
      </c>
      <c r="J57" s="11">
        <f t="shared" si="0"/>
        <v>0</v>
      </c>
      <c r="K57" s="11"/>
      <c r="L57" s="11">
        <v>0</v>
      </c>
      <c r="M57" s="11">
        <v>0</v>
      </c>
      <c r="N57" s="11">
        <v>0</v>
      </c>
      <c r="O57" s="11">
        <v>0</v>
      </c>
      <c r="P57" s="11">
        <f t="shared" si="2"/>
        <v>0</v>
      </c>
    </row>
    <row r="58" ht="14.4" spans="1:16">
      <c r="A58" s="9"/>
      <c r="B58" s="11" t="s">
        <v>105</v>
      </c>
      <c r="C58" s="11" t="s">
        <v>103</v>
      </c>
      <c r="D58" s="11" t="s">
        <v>82</v>
      </c>
      <c r="E58" s="11">
        <v>150</v>
      </c>
      <c r="F58" s="11">
        <v>4</v>
      </c>
      <c r="G58" s="11">
        <v>0</v>
      </c>
      <c r="H58" s="11">
        <v>3</v>
      </c>
      <c r="I58" s="11">
        <v>1</v>
      </c>
      <c r="J58" s="11">
        <f t="shared" si="0"/>
        <v>150</v>
      </c>
      <c r="K58" s="11"/>
      <c r="L58" s="11">
        <v>3</v>
      </c>
      <c r="M58" s="11">
        <v>0</v>
      </c>
      <c r="N58" s="11">
        <v>1</v>
      </c>
      <c r="O58" s="11">
        <v>2</v>
      </c>
      <c r="P58" s="11">
        <f t="shared" si="2"/>
        <v>300</v>
      </c>
    </row>
    <row r="59" ht="14.4" spans="1:16">
      <c r="A59" s="3" t="s">
        <v>106</v>
      </c>
      <c r="B59" s="11" t="s">
        <v>107</v>
      </c>
      <c r="C59" s="11"/>
      <c r="D59" s="11" t="s">
        <v>108</v>
      </c>
      <c r="E59" s="11">
        <v>350</v>
      </c>
      <c r="F59" s="11">
        <v>1</v>
      </c>
      <c r="G59" s="11">
        <v>0</v>
      </c>
      <c r="H59" s="11">
        <v>1</v>
      </c>
      <c r="I59" s="11">
        <v>0</v>
      </c>
      <c r="J59" s="11">
        <f t="shared" si="0"/>
        <v>0</v>
      </c>
      <c r="K59" s="11"/>
      <c r="L59" s="11">
        <v>1</v>
      </c>
      <c r="M59" s="11">
        <v>0</v>
      </c>
      <c r="N59" s="11">
        <v>1</v>
      </c>
      <c r="O59" s="11">
        <v>0</v>
      </c>
      <c r="P59" s="11">
        <f t="shared" si="2"/>
        <v>0</v>
      </c>
    </row>
    <row r="60" ht="14.4" spans="1:16">
      <c r="A60" s="6"/>
      <c r="B60" s="11"/>
      <c r="C60" s="11"/>
      <c r="D60" s="11" t="s">
        <v>109</v>
      </c>
      <c r="E60" s="11">
        <v>430</v>
      </c>
      <c r="F60" s="11">
        <v>8</v>
      </c>
      <c r="G60" s="11">
        <v>0</v>
      </c>
      <c r="H60" s="11">
        <v>8</v>
      </c>
      <c r="I60" s="11">
        <v>0</v>
      </c>
      <c r="J60" s="11">
        <f t="shared" si="0"/>
        <v>0</v>
      </c>
      <c r="K60" s="11"/>
      <c r="L60" s="11">
        <v>8</v>
      </c>
      <c r="M60" s="11">
        <v>0</v>
      </c>
      <c r="N60" s="11">
        <v>8</v>
      </c>
      <c r="O60" s="11">
        <v>0</v>
      </c>
      <c r="P60" s="11">
        <f t="shared" si="2"/>
        <v>0</v>
      </c>
    </row>
    <row r="61" ht="14.4" spans="1:16">
      <c r="A61" s="9"/>
      <c r="B61" s="11"/>
      <c r="C61" s="11"/>
      <c r="D61" s="11" t="s">
        <v>110</v>
      </c>
      <c r="E61" s="11">
        <v>750</v>
      </c>
      <c r="F61" s="11">
        <v>6</v>
      </c>
      <c r="G61" s="11">
        <v>0</v>
      </c>
      <c r="H61" s="11">
        <v>6</v>
      </c>
      <c r="I61" s="11">
        <v>0</v>
      </c>
      <c r="J61" s="11">
        <f t="shared" si="0"/>
        <v>0</v>
      </c>
      <c r="K61" s="11"/>
      <c r="L61" s="11">
        <v>6</v>
      </c>
      <c r="M61" s="11">
        <v>0</v>
      </c>
      <c r="N61" s="11">
        <v>6</v>
      </c>
      <c r="O61" s="11">
        <v>0</v>
      </c>
      <c r="P61" s="11">
        <f t="shared" si="2"/>
        <v>0</v>
      </c>
    </row>
    <row r="62" ht="14.4" spans="1:16">
      <c r="A62" s="3" t="s">
        <v>145</v>
      </c>
      <c r="B62" s="11"/>
      <c r="C62" s="11"/>
      <c r="D62" s="11" t="s">
        <v>108</v>
      </c>
      <c r="E62" s="11">
        <v>350</v>
      </c>
      <c r="F62" s="11">
        <v>3</v>
      </c>
      <c r="G62" s="11">
        <v>0</v>
      </c>
      <c r="H62" s="11">
        <v>3</v>
      </c>
      <c r="I62" s="11">
        <v>0</v>
      </c>
      <c r="J62" s="11">
        <f t="shared" si="0"/>
        <v>0</v>
      </c>
      <c r="K62" s="11"/>
      <c r="L62" s="11">
        <v>3</v>
      </c>
      <c r="M62" s="11">
        <v>0</v>
      </c>
      <c r="N62" s="11">
        <v>3</v>
      </c>
      <c r="O62" s="11">
        <v>0</v>
      </c>
      <c r="P62" s="11">
        <f t="shared" si="2"/>
        <v>0</v>
      </c>
    </row>
    <row r="63" ht="14.4" spans="1:16">
      <c r="A63" s="6"/>
      <c r="B63" s="11"/>
      <c r="C63" s="11"/>
      <c r="D63" s="11" t="s">
        <v>109</v>
      </c>
      <c r="E63" s="11">
        <v>430</v>
      </c>
      <c r="F63" s="11">
        <v>5</v>
      </c>
      <c r="G63" s="11">
        <v>0</v>
      </c>
      <c r="H63" s="11">
        <v>5</v>
      </c>
      <c r="I63" s="11">
        <v>0</v>
      </c>
      <c r="J63" s="11">
        <f t="shared" si="0"/>
        <v>0</v>
      </c>
      <c r="K63" s="11"/>
      <c r="L63" s="11">
        <v>5</v>
      </c>
      <c r="M63" s="11">
        <v>0</v>
      </c>
      <c r="N63" s="11">
        <v>5</v>
      </c>
      <c r="O63" s="11">
        <v>0</v>
      </c>
      <c r="P63" s="11">
        <f t="shared" si="2"/>
        <v>0</v>
      </c>
    </row>
    <row r="64" ht="14.4" spans="1:16">
      <c r="A64" s="9"/>
      <c r="B64" s="11"/>
      <c r="C64" s="11"/>
      <c r="D64" s="11" t="s">
        <v>146</v>
      </c>
      <c r="E64" s="11">
        <v>750</v>
      </c>
      <c r="F64" s="11">
        <v>5</v>
      </c>
      <c r="G64" s="11">
        <v>0</v>
      </c>
      <c r="H64" s="11">
        <v>5</v>
      </c>
      <c r="I64" s="11">
        <v>0</v>
      </c>
      <c r="J64" s="11">
        <f t="shared" si="0"/>
        <v>0</v>
      </c>
      <c r="K64" s="11"/>
      <c r="L64" s="11">
        <v>5</v>
      </c>
      <c r="M64" s="11">
        <v>0</v>
      </c>
      <c r="N64" s="11">
        <v>5</v>
      </c>
      <c r="O64" s="11">
        <v>0</v>
      </c>
      <c r="P64" s="11">
        <f t="shared" si="2"/>
        <v>0</v>
      </c>
    </row>
    <row r="65" ht="14.4" spans="1:16">
      <c r="A65" s="14" t="s">
        <v>151</v>
      </c>
      <c r="B65" s="11"/>
      <c r="C65" s="11"/>
      <c r="D65" s="11"/>
      <c r="E65" s="11"/>
      <c r="F65" s="11"/>
      <c r="G65" s="11"/>
      <c r="H65" s="11"/>
      <c r="I65" s="11"/>
      <c r="J65" s="14">
        <f>SUM(J6:J64)</f>
        <v>7130</v>
      </c>
      <c r="K65" s="11"/>
      <c r="L65" s="11"/>
      <c r="M65" s="11"/>
      <c r="N65" s="11"/>
      <c r="O65" s="11"/>
      <c r="P65" s="14">
        <f>SUM(P6:P64)</f>
        <v>7610</v>
      </c>
    </row>
    <row r="66" ht="14.4" spans="1:1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</row>
    <row r="67" ht="14.4" spans="1:1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</row>
    <row r="68" ht="14.4" spans="1:1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</row>
    <row r="69" ht="14.4" spans="1:1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ht="14.4" spans="1:1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ht="14.4" spans="1:1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ht="14.4" spans="1:1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ht="14.4" spans="1:1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ht="14.4" spans="1:1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ht="14.4" spans="1:16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ht="14.4" spans="1:1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  <row r="77" ht="14.4" spans="1:16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</row>
    <row r="78" ht="14.4" spans="1:16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</row>
    <row r="79" ht="14.4" spans="1:16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</row>
    <row r="80" ht="14.4" spans="1:16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</row>
    <row r="81" ht="14.4" spans="1:16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</row>
    <row r="82" ht="14.4" spans="1:16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</row>
    <row r="83" ht="14.4" spans="1:16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ht="14.4" spans="1:16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</row>
    <row r="85" ht="14.4" spans="1:16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</row>
    <row r="86" ht="14.4" spans="1:1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</row>
  </sheetData>
  <mergeCells count="29">
    <mergeCell ref="A4:A5"/>
    <mergeCell ref="A6:A15"/>
    <mergeCell ref="A16:A23"/>
    <mergeCell ref="A24:A40"/>
    <mergeCell ref="A41:A42"/>
    <mergeCell ref="A43:A52"/>
    <mergeCell ref="A53:A56"/>
    <mergeCell ref="A57:A58"/>
    <mergeCell ref="A59:A61"/>
    <mergeCell ref="A62:A64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L4:L5"/>
    <mergeCell ref="M1:M3"/>
    <mergeCell ref="M4:M5"/>
    <mergeCell ref="N1:N3"/>
    <mergeCell ref="N4:N5"/>
    <mergeCell ref="O1:O3"/>
    <mergeCell ref="O4:O5"/>
    <mergeCell ref="P1:P3"/>
    <mergeCell ref="P4:P5"/>
    <mergeCell ref="A1:L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6"/>
  <sheetViews>
    <sheetView tabSelected="1" topLeftCell="A4" workbookViewId="0">
      <selection activeCell="N61" sqref="N61"/>
    </sheetView>
  </sheetViews>
  <sheetFormatPr defaultColWidth="8.75" defaultRowHeight="13.8"/>
  <cols>
    <col min="1" max="1" width="14.125" customWidth="1"/>
    <col min="2" max="2" width="21" customWidth="1"/>
    <col min="3" max="3" width="24.75" customWidth="1"/>
    <col min="4" max="5" width="9.125" customWidth="1"/>
    <col min="6" max="6" width="30.5" customWidth="1"/>
    <col min="7" max="7" width="16.125" customWidth="1"/>
    <col min="8" max="8" width="31.25" customWidth="1"/>
    <col min="9" max="9" width="13.75" customWidth="1"/>
    <col min="10" max="10" width="13.25" customWidth="1"/>
    <col min="11" max="11" width="9.125" customWidth="1"/>
    <col min="12" max="12" width="31.125" customWidth="1"/>
    <col min="13" max="13" width="22.625" customWidth="1"/>
    <col min="14" max="14" width="30.25" customWidth="1"/>
    <col min="15" max="15" width="16.625" customWidth="1"/>
    <col min="16" max="16" width="19.875" customWidth="1"/>
  </cols>
  <sheetData>
    <row r="1" ht="14.45" customHeight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  <c r="N1" s="3"/>
      <c r="O1" s="3"/>
      <c r="P1" s="3"/>
    </row>
    <row r="2" ht="14.45" customHeight="1" spans="1:16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6"/>
      <c r="N2" s="6"/>
      <c r="O2" s="6"/>
      <c r="P2" s="6"/>
    </row>
    <row r="3" ht="14.45" customHeight="1" spans="1:16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8"/>
      <c r="M3" s="9"/>
      <c r="N3" s="9"/>
      <c r="O3" s="9"/>
      <c r="P3" s="9"/>
    </row>
    <row r="4" ht="14.4" spans="1:16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167</v>
      </c>
      <c r="G4" s="10" t="s">
        <v>8</v>
      </c>
      <c r="H4" s="10" t="s">
        <v>168</v>
      </c>
      <c r="I4" s="10" t="s">
        <v>10</v>
      </c>
      <c r="J4" s="10" t="s">
        <v>11</v>
      </c>
      <c r="K4" s="11"/>
      <c r="L4" s="10" t="s">
        <v>169</v>
      </c>
      <c r="M4" s="10" t="s">
        <v>8</v>
      </c>
      <c r="N4" s="10" t="s">
        <v>170</v>
      </c>
      <c r="O4" s="10" t="s">
        <v>14</v>
      </c>
      <c r="P4" s="10" t="s">
        <v>15</v>
      </c>
    </row>
    <row r="5" ht="14.4" spans="1:16">
      <c r="A5" s="9"/>
      <c r="B5" s="9"/>
      <c r="C5" s="9"/>
      <c r="D5" s="9"/>
      <c r="E5" s="9"/>
      <c r="F5" s="9"/>
      <c r="G5" s="9"/>
      <c r="H5" s="9"/>
      <c r="I5" s="9"/>
      <c r="J5" s="9"/>
      <c r="K5" s="11"/>
      <c r="L5" s="9"/>
      <c r="M5" s="9"/>
      <c r="N5" s="9"/>
      <c r="O5" s="9"/>
      <c r="P5" s="9"/>
    </row>
    <row r="6" ht="14.4" spans="1:16">
      <c r="A6" s="3" t="s">
        <v>16</v>
      </c>
      <c r="B6" s="11" t="s">
        <v>17</v>
      </c>
      <c r="C6" s="11" t="s">
        <v>18</v>
      </c>
      <c r="D6" s="11" t="s">
        <v>19</v>
      </c>
      <c r="E6" s="11">
        <v>700</v>
      </c>
      <c r="F6" s="11">
        <v>0</v>
      </c>
      <c r="G6" s="11"/>
      <c r="H6" s="11"/>
      <c r="I6" s="11"/>
      <c r="J6" s="11"/>
      <c r="K6" s="11"/>
      <c r="L6" s="11"/>
      <c r="M6" s="11"/>
      <c r="N6" s="11"/>
      <c r="O6" s="11"/>
      <c r="P6" s="11"/>
    </row>
    <row r="7" ht="14.4" spans="1:16">
      <c r="A7" s="12"/>
      <c r="B7" s="11" t="s">
        <v>20</v>
      </c>
      <c r="C7" s="11" t="s">
        <v>21</v>
      </c>
      <c r="D7" s="11" t="s">
        <v>19</v>
      </c>
      <c r="E7" s="11">
        <v>950</v>
      </c>
      <c r="F7" s="11">
        <v>4</v>
      </c>
      <c r="G7" s="11"/>
      <c r="H7" s="11"/>
      <c r="I7" s="11"/>
      <c r="J7" s="11"/>
      <c r="K7" s="11"/>
      <c r="L7" s="11"/>
      <c r="M7" s="11"/>
      <c r="N7" s="11"/>
      <c r="O7" s="11"/>
      <c r="P7" s="11"/>
    </row>
    <row r="8" ht="14.4" spans="1:16">
      <c r="A8" s="12"/>
      <c r="B8" s="11" t="s">
        <v>22</v>
      </c>
      <c r="C8" s="11" t="s">
        <v>21</v>
      </c>
      <c r="D8" s="11" t="s">
        <v>19</v>
      </c>
      <c r="E8" s="11">
        <v>850</v>
      </c>
      <c r="F8" s="11">
        <v>0</v>
      </c>
      <c r="G8" s="11"/>
      <c r="H8" s="11"/>
      <c r="I8" s="11"/>
      <c r="J8" s="11"/>
      <c r="K8" s="11"/>
      <c r="L8" s="11"/>
      <c r="M8" s="11"/>
      <c r="N8" s="11"/>
      <c r="O8" s="11"/>
      <c r="P8" s="11"/>
    </row>
    <row r="9" ht="14.4" spans="1:16">
      <c r="A9" s="12"/>
      <c r="B9" s="11" t="s">
        <v>23</v>
      </c>
      <c r="C9" s="11" t="s">
        <v>24</v>
      </c>
      <c r="D9" s="11" t="s">
        <v>19</v>
      </c>
      <c r="E9" s="11">
        <v>850</v>
      </c>
      <c r="F9" s="11">
        <v>4</v>
      </c>
      <c r="G9" s="11"/>
      <c r="H9" s="11"/>
      <c r="I9" s="11"/>
      <c r="J9" s="11"/>
      <c r="K9" s="11"/>
      <c r="L9" s="11"/>
      <c r="M9" s="11"/>
      <c r="N9" s="11"/>
      <c r="O9" s="11"/>
      <c r="P9" s="11"/>
    </row>
    <row r="10" ht="14.4" spans="1:16">
      <c r="A10" s="12"/>
      <c r="B10" s="11" t="s">
        <v>25</v>
      </c>
      <c r="C10" s="11" t="s">
        <v>24</v>
      </c>
      <c r="D10" s="11" t="s">
        <v>19</v>
      </c>
      <c r="E10" s="11">
        <v>850</v>
      </c>
      <c r="F10" s="11">
        <v>1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ht="14.4" spans="1:16">
      <c r="A11" s="12"/>
      <c r="B11" s="11" t="s">
        <v>26</v>
      </c>
      <c r="C11" s="11" t="s">
        <v>27</v>
      </c>
      <c r="D11" s="11" t="s">
        <v>19</v>
      </c>
      <c r="E11" s="11">
        <v>950</v>
      </c>
      <c r="F11" s="11">
        <v>4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ht="14.4" spans="1:16">
      <c r="A12" s="12"/>
      <c r="B12" s="11" t="s">
        <v>28</v>
      </c>
      <c r="C12" s="11" t="s">
        <v>29</v>
      </c>
      <c r="D12" s="11" t="s">
        <v>30</v>
      </c>
      <c r="E12" s="11">
        <v>90</v>
      </c>
      <c r="F12" s="11">
        <v>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ht="14.4" spans="1:16">
      <c r="A13" s="12"/>
      <c r="B13" s="11" t="s">
        <v>31</v>
      </c>
      <c r="C13" s="11" t="s">
        <v>32</v>
      </c>
      <c r="D13" s="11" t="s">
        <v>33</v>
      </c>
      <c r="E13" s="11">
        <v>120</v>
      </c>
      <c r="F13" s="11">
        <v>3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ht="14.4" spans="1:16">
      <c r="A14" s="12"/>
      <c r="B14" s="11" t="s">
        <v>31</v>
      </c>
      <c r="C14" s="11" t="s">
        <v>32</v>
      </c>
      <c r="D14" s="11" t="s">
        <v>30</v>
      </c>
      <c r="E14" s="11">
        <v>100</v>
      </c>
      <c r="F14" s="11">
        <v>3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ht="14.4" spans="1:16">
      <c r="A15" s="12"/>
      <c r="B15" s="11" t="s">
        <v>34</v>
      </c>
      <c r="C15" s="11"/>
      <c r="D15" s="11" t="s">
        <v>33</v>
      </c>
      <c r="E15" s="11">
        <v>120</v>
      </c>
      <c r="F15" s="11">
        <v>17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ht="14.4" spans="1:16">
      <c r="A16" s="3" t="s">
        <v>35</v>
      </c>
      <c r="B16" s="11" t="s">
        <v>36</v>
      </c>
      <c r="C16" s="11"/>
      <c r="D16" s="11" t="s">
        <v>37</v>
      </c>
      <c r="E16" s="11">
        <v>120</v>
      </c>
      <c r="F16" s="11">
        <v>6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ht="14.4" spans="1:16">
      <c r="A17" s="6"/>
      <c r="B17" s="11" t="s">
        <v>38</v>
      </c>
      <c r="C17" s="11" t="s">
        <v>39</v>
      </c>
      <c r="D17" s="11" t="s">
        <v>37</v>
      </c>
      <c r="E17" s="11">
        <v>130</v>
      </c>
      <c r="F17" s="11">
        <v>0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ht="14.4" spans="1:16">
      <c r="A18" s="6"/>
      <c r="B18" s="11" t="s">
        <v>38</v>
      </c>
      <c r="C18" s="11" t="s">
        <v>39</v>
      </c>
      <c r="D18" s="11" t="s">
        <v>41</v>
      </c>
      <c r="E18" s="11">
        <v>250</v>
      </c>
      <c r="F18" s="11">
        <v>11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ht="14.4" spans="1:16">
      <c r="A19" s="6"/>
      <c r="B19" s="11" t="s">
        <v>42</v>
      </c>
      <c r="C19" s="11" t="s">
        <v>43</v>
      </c>
      <c r="D19" s="11" t="s">
        <v>44</v>
      </c>
      <c r="E19" s="11">
        <v>120</v>
      </c>
      <c r="F19" s="11">
        <v>3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ht="14.4" spans="1:16">
      <c r="A20" s="6"/>
      <c r="B20" s="11" t="s">
        <v>45</v>
      </c>
      <c r="C20" s="11" t="s">
        <v>46</v>
      </c>
      <c r="D20" s="11" t="s">
        <v>41</v>
      </c>
      <c r="E20" s="11">
        <v>200</v>
      </c>
      <c r="F20" s="11">
        <v>14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ht="14.4" spans="1:16">
      <c r="A21" s="6"/>
      <c r="B21" s="11" t="s">
        <v>47</v>
      </c>
      <c r="C21" s="11"/>
      <c r="D21" s="11" t="s">
        <v>37</v>
      </c>
      <c r="E21" s="11">
        <v>100</v>
      </c>
      <c r="F21" s="11">
        <v>13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ht="14.4" spans="1:16">
      <c r="A22" s="6"/>
      <c r="B22" s="11" t="s">
        <v>48</v>
      </c>
      <c r="C22" s="11"/>
      <c r="D22" s="11" t="s">
        <v>49</v>
      </c>
      <c r="E22" s="11">
        <v>100</v>
      </c>
      <c r="F22" s="11">
        <v>5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ht="14.4" spans="1:16">
      <c r="A23" s="9"/>
      <c r="B23" s="11" t="s">
        <v>50</v>
      </c>
      <c r="C23" s="11"/>
      <c r="D23" s="11" t="s">
        <v>51</v>
      </c>
      <c r="E23" s="11">
        <v>150</v>
      </c>
      <c r="F23" s="11">
        <v>12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ht="14.4" spans="1:16">
      <c r="A24" s="3" t="s">
        <v>52</v>
      </c>
      <c r="B24" s="11" t="s">
        <v>53</v>
      </c>
      <c r="C24" s="11"/>
      <c r="D24" s="11" t="s">
        <v>54</v>
      </c>
      <c r="E24" s="11">
        <v>100</v>
      </c>
      <c r="F24" s="11">
        <v>0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ht="14.4" spans="1:16">
      <c r="A25" s="12"/>
      <c r="B25" s="11" t="s">
        <v>53</v>
      </c>
      <c r="C25" s="11"/>
      <c r="D25" s="11" t="s">
        <v>55</v>
      </c>
      <c r="E25" s="11">
        <v>200</v>
      </c>
      <c r="F25" s="11">
        <v>11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ht="14.4" spans="1:16">
      <c r="A26" s="12"/>
      <c r="B26" s="11" t="s">
        <v>56</v>
      </c>
      <c r="C26" s="11"/>
      <c r="D26" s="11" t="s">
        <v>55</v>
      </c>
      <c r="E26" s="11">
        <v>200</v>
      </c>
      <c r="F26" s="11">
        <v>2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ht="14.4" spans="1:16">
      <c r="A27" s="12"/>
      <c r="B27" s="11" t="s">
        <v>57</v>
      </c>
      <c r="C27" s="11"/>
      <c r="D27" s="11" t="s">
        <v>58</v>
      </c>
      <c r="E27" s="11">
        <v>270</v>
      </c>
      <c r="F27" s="11">
        <v>14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ht="14.4" spans="1:16">
      <c r="A28" s="12"/>
      <c r="B28" s="11" t="s">
        <v>57</v>
      </c>
      <c r="C28" s="11"/>
      <c r="D28" s="11" t="s">
        <v>59</v>
      </c>
      <c r="E28" s="11">
        <v>190</v>
      </c>
      <c r="F28" s="11">
        <v>10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ht="14.4" spans="1:16">
      <c r="A29" s="12"/>
      <c r="B29" s="11" t="s">
        <v>60</v>
      </c>
      <c r="C29" s="11"/>
      <c r="D29" s="11" t="s">
        <v>59</v>
      </c>
      <c r="E29" s="11">
        <v>350</v>
      </c>
      <c r="F29" s="11">
        <v>8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ht="14.4" spans="1:16">
      <c r="A30" s="12"/>
      <c r="B30" s="11" t="s">
        <v>61</v>
      </c>
      <c r="C30" s="11"/>
      <c r="D30" s="11" t="s">
        <v>55</v>
      </c>
      <c r="E30" s="11">
        <v>200</v>
      </c>
      <c r="F30" s="11">
        <v>10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ht="14.4" spans="1:16">
      <c r="A31" s="12"/>
      <c r="B31" s="11" t="s">
        <v>156</v>
      </c>
      <c r="C31" s="11"/>
      <c r="D31" s="11" t="s">
        <v>58</v>
      </c>
      <c r="E31" s="11">
        <v>350</v>
      </c>
      <c r="F31" s="11">
        <v>2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ht="14.4" spans="1:16">
      <c r="A32" s="12"/>
      <c r="B32" s="11" t="s">
        <v>62</v>
      </c>
      <c r="C32" s="11"/>
      <c r="D32" s="11" t="s">
        <v>54</v>
      </c>
      <c r="E32" s="11">
        <v>150</v>
      </c>
      <c r="F32" s="11">
        <v>18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ht="14.4" spans="1:16">
      <c r="A33" s="12"/>
      <c r="B33" s="11" t="s">
        <v>63</v>
      </c>
      <c r="C33" s="11" t="s">
        <v>64</v>
      </c>
      <c r="D33" s="11" t="s">
        <v>65</v>
      </c>
      <c r="E33" s="11">
        <v>100</v>
      </c>
      <c r="F33" s="11">
        <v>58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ht="14.4" spans="1:16">
      <c r="A34" s="12"/>
      <c r="B34" s="11" t="s">
        <v>63</v>
      </c>
      <c r="C34" s="11" t="s">
        <v>64</v>
      </c>
      <c r="D34" s="11" t="s">
        <v>41</v>
      </c>
      <c r="E34" s="11">
        <v>150</v>
      </c>
      <c r="F34" s="11">
        <v>37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ht="14.4" spans="1:16">
      <c r="A35" s="12"/>
      <c r="B35" s="11" t="s">
        <v>63</v>
      </c>
      <c r="C35" s="11" t="s">
        <v>64</v>
      </c>
      <c r="D35" s="11" t="s">
        <v>66</v>
      </c>
      <c r="E35" s="11">
        <v>200</v>
      </c>
      <c r="F35" s="11">
        <v>37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ht="14.4" spans="1:16">
      <c r="A36" s="12"/>
      <c r="B36" s="11" t="s">
        <v>67</v>
      </c>
      <c r="C36" s="11" t="s">
        <v>68</v>
      </c>
      <c r="D36" s="11" t="s">
        <v>41</v>
      </c>
      <c r="E36" s="11">
        <v>150</v>
      </c>
      <c r="F36" s="11">
        <v>14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ht="14.4" spans="1:16">
      <c r="A37" s="12"/>
      <c r="B37" s="11" t="s">
        <v>69</v>
      </c>
      <c r="C37" s="11" t="s">
        <v>68</v>
      </c>
      <c r="D37" s="11" t="s">
        <v>66</v>
      </c>
      <c r="E37" s="11">
        <v>200</v>
      </c>
      <c r="F37" s="11">
        <v>9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ht="14.4" spans="1:16">
      <c r="A38" s="12"/>
      <c r="B38" s="11" t="s">
        <v>70</v>
      </c>
      <c r="C38" s="11"/>
      <c r="D38" s="11" t="s">
        <v>58</v>
      </c>
      <c r="E38" s="11">
        <v>300</v>
      </c>
      <c r="F38" s="11">
        <v>15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ht="14.4" spans="1:16">
      <c r="A39" s="12"/>
      <c r="B39" s="11" t="s">
        <v>70</v>
      </c>
      <c r="C39" s="11"/>
      <c r="D39" s="11" t="s">
        <v>59</v>
      </c>
      <c r="E39" s="11">
        <v>200</v>
      </c>
      <c r="F39" s="11">
        <v>2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ht="14.4" spans="1:16">
      <c r="A40" s="13"/>
      <c r="B40" s="11" t="s">
        <v>71</v>
      </c>
      <c r="C40" s="11"/>
      <c r="D40" s="11" t="s">
        <v>58</v>
      </c>
      <c r="E40" s="11">
        <v>250</v>
      </c>
      <c r="F40" s="11">
        <v>4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 ht="14.4" spans="1:16">
      <c r="A41" s="3" t="s">
        <v>72</v>
      </c>
      <c r="B41" s="11" t="s">
        <v>73</v>
      </c>
      <c r="C41" s="11" t="s">
        <v>74</v>
      </c>
      <c r="D41" s="11" t="s">
        <v>75</v>
      </c>
      <c r="E41" s="11">
        <v>200</v>
      </c>
      <c r="F41" s="11">
        <v>12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 ht="14.4" spans="1:16">
      <c r="A42" s="13"/>
      <c r="B42" s="11" t="s">
        <v>76</v>
      </c>
      <c r="C42" s="11"/>
      <c r="D42" s="11" t="s">
        <v>157</v>
      </c>
      <c r="E42" s="11">
        <v>1000</v>
      </c>
      <c r="F42" s="11">
        <v>6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</row>
    <row r="43" ht="14.4" spans="1:16">
      <c r="A43" s="3" t="s">
        <v>77</v>
      </c>
      <c r="B43" s="11" t="s">
        <v>78</v>
      </c>
      <c r="C43" s="11" t="s">
        <v>79</v>
      </c>
      <c r="D43" s="11" t="s">
        <v>65</v>
      </c>
      <c r="E43" s="11">
        <v>170</v>
      </c>
      <c r="F43" s="11">
        <v>0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ht="14.4" spans="1:16">
      <c r="A44" s="6"/>
      <c r="B44" s="11" t="s">
        <v>78</v>
      </c>
      <c r="C44" s="11" t="s">
        <v>79</v>
      </c>
      <c r="D44" s="11" t="s">
        <v>41</v>
      </c>
      <c r="E44" s="11">
        <v>300</v>
      </c>
      <c r="F44" s="11">
        <v>10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 ht="14.4" spans="1:16">
      <c r="A45" s="6"/>
      <c r="B45" s="11" t="s">
        <v>80</v>
      </c>
      <c r="C45" s="11" t="s">
        <v>79</v>
      </c>
      <c r="D45" s="11" t="s">
        <v>85</v>
      </c>
      <c r="E45" s="11">
        <v>130</v>
      </c>
      <c r="F45" s="11">
        <v>11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 ht="14.4" spans="1:16">
      <c r="A46" s="6"/>
      <c r="B46" s="11" t="s">
        <v>80</v>
      </c>
      <c r="C46" s="11" t="s">
        <v>79</v>
      </c>
      <c r="D46" s="11" t="s">
        <v>82</v>
      </c>
      <c r="E46" s="11">
        <v>250</v>
      </c>
      <c r="F46" s="11">
        <v>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ht="14.4" spans="1:16">
      <c r="A47" s="6"/>
      <c r="B47" s="11" t="s">
        <v>83</v>
      </c>
      <c r="C47" s="11" t="s">
        <v>84</v>
      </c>
      <c r="D47" s="11" t="s">
        <v>85</v>
      </c>
      <c r="E47" s="11">
        <v>150</v>
      </c>
      <c r="F47" s="11">
        <v>2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 ht="14.4" spans="1:16">
      <c r="A48" s="6"/>
      <c r="B48" s="11" t="s">
        <v>86</v>
      </c>
      <c r="C48" s="11"/>
      <c r="D48" s="11" t="s">
        <v>33</v>
      </c>
      <c r="E48" s="11">
        <v>100</v>
      </c>
      <c r="F48" s="11">
        <v>10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ht="14.4" spans="1:16">
      <c r="A49" s="6"/>
      <c r="B49" s="11" t="s">
        <v>86</v>
      </c>
      <c r="C49" s="11"/>
      <c r="D49" s="11" t="s">
        <v>82</v>
      </c>
      <c r="E49" s="11">
        <v>250</v>
      </c>
      <c r="F49" s="11">
        <v>7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 ht="14.4" spans="1:16">
      <c r="A50" s="6"/>
      <c r="B50" s="11" t="s">
        <v>87</v>
      </c>
      <c r="C50" s="11"/>
      <c r="D50" s="11" t="s">
        <v>49</v>
      </c>
      <c r="E50" s="11">
        <v>150</v>
      </c>
      <c r="F50" s="11">
        <v>0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 ht="14.4" spans="1:16">
      <c r="A51" s="6"/>
      <c r="B51" s="11" t="s">
        <v>88</v>
      </c>
      <c r="C51" s="11"/>
      <c r="D51" s="11" t="s">
        <v>82</v>
      </c>
      <c r="E51" s="11">
        <v>300</v>
      </c>
      <c r="F51" s="11">
        <v>0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</row>
    <row r="52" ht="14.4" spans="1:16">
      <c r="A52" s="9"/>
      <c r="B52" s="11" t="s">
        <v>89</v>
      </c>
      <c r="C52" s="11"/>
      <c r="D52" s="11" t="s">
        <v>90</v>
      </c>
      <c r="E52" s="11">
        <v>430</v>
      </c>
      <c r="F52" s="11">
        <v>4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</row>
    <row r="53" ht="14.4" spans="1:16">
      <c r="A53" s="3" t="s">
        <v>91</v>
      </c>
      <c r="B53" s="11" t="s">
        <v>92</v>
      </c>
      <c r="C53" s="11" t="s">
        <v>93</v>
      </c>
      <c r="D53" s="11" t="s">
        <v>94</v>
      </c>
      <c r="E53" s="11">
        <v>300</v>
      </c>
      <c r="F53" s="11">
        <v>2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 ht="14.4" spans="1:16">
      <c r="A54" s="6"/>
      <c r="B54" s="11" t="s">
        <v>95</v>
      </c>
      <c r="C54" s="11" t="s">
        <v>96</v>
      </c>
      <c r="D54" s="11" t="s">
        <v>94</v>
      </c>
      <c r="E54" s="11">
        <v>50</v>
      </c>
      <c r="F54" s="11">
        <v>12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</row>
    <row r="55" ht="14.4" spans="1:16">
      <c r="A55" s="6"/>
      <c r="B55" s="11" t="s">
        <v>97</v>
      </c>
      <c r="C55" s="11" t="s">
        <v>98</v>
      </c>
      <c r="D55" s="11" t="s">
        <v>19</v>
      </c>
      <c r="E55" s="11">
        <v>350</v>
      </c>
      <c r="F55" s="11">
        <v>3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ht="14.4" spans="1:16">
      <c r="A56" s="9"/>
      <c r="B56" s="11" t="s">
        <v>99</v>
      </c>
      <c r="C56" s="11" t="s">
        <v>100</v>
      </c>
      <c r="D56" s="11" t="s">
        <v>94</v>
      </c>
      <c r="E56" s="11">
        <v>150</v>
      </c>
      <c r="F56" s="11">
        <v>0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ht="14.4" spans="1:16">
      <c r="A57" s="3" t="s">
        <v>101</v>
      </c>
      <c r="B57" s="11" t="s">
        <v>102</v>
      </c>
      <c r="C57" s="11" t="s">
        <v>103</v>
      </c>
      <c r="D57" s="11" t="s">
        <v>104</v>
      </c>
      <c r="E57" s="11">
        <v>100</v>
      </c>
      <c r="F57" s="11">
        <v>0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 ht="14.4" spans="1:16">
      <c r="A58" s="9"/>
      <c r="B58" s="11" t="s">
        <v>105</v>
      </c>
      <c r="C58" s="11" t="s">
        <v>103</v>
      </c>
      <c r="D58" s="11" t="s">
        <v>82</v>
      </c>
      <c r="E58" s="11">
        <v>150</v>
      </c>
      <c r="F58" s="11">
        <v>1</v>
      </c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 ht="14.4" spans="1:16">
      <c r="A59" s="3" t="s">
        <v>106</v>
      </c>
      <c r="B59" s="11" t="s">
        <v>107</v>
      </c>
      <c r="C59" s="11"/>
      <c r="D59" s="11" t="s">
        <v>108</v>
      </c>
      <c r="E59" s="11">
        <v>350</v>
      </c>
      <c r="F59" s="11">
        <v>1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ht="14.4" spans="1:16">
      <c r="A60" s="6"/>
      <c r="B60" s="11"/>
      <c r="C60" s="11"/>
      <c r="D60" s="11" t="s">
        <v>109</v>
      </c>
      <c r="E60" s="11">
        <v>430</v>
      </c>
      <c r="F60" s="11">
        <v>8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 ht="14.4" spans="1:16">
      <c r="A61" s="9"/>
      <c r="B61" s="11"/>
      <c r="C61" s="11"/>
      <c r="D61" s="11" t="s">
        <v>110</v>
      </c>
      <c r="E61" s="11">
        <v>750</v>
      </c>
      <c r="F61" s="11">
        <v>6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</row>
    <row r="62" ht="14.4" spans="1:16">
      <c r="A62" s="3" t="s">
        <v>145</v>
      </c>
      <c r="B62" s="11"/>
      <c r="C62" s="11"/>
      <c r="D62" s="11" t="s">
        <v>108</v>
      </c>
      <c r="E62" s="11">
        <v>350</v>
      </c>
      <c r="F62" s="11">
        <v>3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</row>
    <row r="63" ht="14.4" spans="1:16">
      <c r="A63" s="6"/>
      <c r="B63" s="11"/>
      <c r="C63" s="11"/>
      <c r="D63" s="11" t="s">
        <v>109</v>
      </c>
      <c r="E63" s="11">
        <v>430</v>
      </c>
      <c r="F63" s="11">
        <v>5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 ht="14.4" spans="1:16">
      <c r="A64" s="9"/>
      <c r="B64" s="11"/>
      <c r="C64" s="11"/>
      <c r="D64" s="11" t="s">
        <v>146</v>
      </c>
      <c r="E64" s="11">
        <v>750</v>
      </c>
      <c r="F64" s="11">
        <v>5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 ht="14.4" spans="1:16">
      <c r="A65" s="14" t="s">
        <v>151</v>
      </c>
      <c r="B65" s="11"/>
      <c r="C65" s="11"/>
      <c r="D65" s="11"/>
      <c r="E65" s="11"/>
      <c r="F65" s="11"/>
      <c r="G65" s="11"/>
      <c r="H65" s="11"/>
      <c r="I65" s="11"/>
      <c r="J65" s="14"/>
      <c r="K65" s="11"/>
      <c r="L65" s="11"/>
      <c r="M65" s="11"/>
      <c r="N65" s="11"/>
      <c r="O65" s="11"/>
      <c r="P65" s="14"/>
    </row>
    <row r="66" ht="14.4" spans="1:1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</row>
    <row r="67" ht="14.4" spans="1:1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</row>
    <row r="68" ht="14.4" spans="1:1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</row>
    <row r="69" ht="14.4" spans="1:1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ht="14.4" spans="1:1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ht="14.4" spans="1:1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ht="14.4" spans="1:1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ht="14.4" spans="1:1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ht="14.4" spans="1:1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ht="14.4" spans="1:16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ht="14.4" spans="1:1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  <row r="77" ht="14.4" spans="1:16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</row>
    <row r="78" ht="14.4" spans="1:16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</row>
    <row r="79" ht="14.4" spans="1:16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</row>
    <row r="80" ht="14.4" spans="1:16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</row>
    <row r="81" ht="14.4" spans="1:16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</row>
    <row r="82" ht="14.4" spans="1:16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</row>
    <row r="83" ht="14.4" spans="1:16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ht="14.4" spans="1:16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</row>
    <row r="85" ht="14.4" spans="1:16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</row>
    <row r="86" ht="14.4" spans="1:1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</row>
  </sheetData>
  <mergeCells count="29">
    <mergeCell ref="A4:A5"/>
    <mergeCell ref="A6:A15"/>
    <mergeCell ref="A16:A23"/>
    <mergeCell ref="A24:A40"/>
    <mergeCell ref="A41:A42"/>
    <mergeCell ref="A43:A52"/>
    <mergeCell ref="A53:A56"/>
    <mergeCell ref="A57:A58"/>
    <mergeCell ref="A59:A61"/>
    <mergeCell ref="A62:A64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L4:L5"/>
    <mergeCell ref="M1:M3"/>
    <mergeCell ref="M4:M5"/>
    <mergeCell ref="N1:N3"/>
    <mergeCell ref="N4:N5"/>
    <mergeCell ref="O1:O3"/>
    <mergeCell ref="O4:O5"/>
    <mergeCell ref="P1:P3"/>
    <mergeCell ref="P4:P5"/>
    <mergeCell ref="A1:L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Codanalytics</dc:creator>
  <cp:lastModifiedBy>user</cp:lastModifiedBy>
  <dcterms:created xsi:type="dcterms:W3CDTF">2026-02-01T02:03:00Z</dcterms:created>
  <dcterms:modified xsi:type="dcterms:W3CDTF">2026-06-04T08:09:46Z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93FA2E6DB3674BF9894310C2001489F8_13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